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threadedComments/threadedComment1.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727"/>
  <workbookPr defaultThemeVersion="166925"/>
  <mc:AlternateContent xmlns:mc="http://schemas.openxmlformats.org/markup-compatibility/2006">
    <mc:Choice Requires="x15">
      <x15ac:absPath xmlns:x15ac="http://schemas.microsoft.com/office/spreadsheetml/2010/11/ac" url="/Users/zl17868/Downloads/"/>
    </mc:Choice>
  </mc:AlternateContent>
  <xr:revisionPtr revIDLastSave="0" documentId="13_ncr:1_{AE710EAC-626E-5F4E-834C-CC36A66FF4D7}" xr6:coauthVersionLast="47" xr6:coauthVersionMax="47" xr10:uidLastSave="{00000000-0000-0000-0000-000000000000}"/>
  <bookViews>
    <workbookView xWindow="0" yWindow="740" windowWidth="30240" windowHeight="18900" activeTab="4" xr2:uid="{00000000-000D-0000-FFFF-FFFF00000000}"/>
  </bookViews>
  <sheets>
    <sheet name="Definitions" sheetId="7" r:id="rId1"/>
    <sheet name="Other" sheetId="3" r:id="rId2"/>
    <sheet name="Plant Data" sheetId="1" r:id="rId3"/>
    <sheet name="FC_PPA" sheetId="6" r:id="rId4"/>
    <sheet name="Price_Gen" sheetId="2" r:id="rId5"/>
    <sheet name="Sheet1" sheetId="8" r:id="rId6"/>
    <sheet name="Price_Distribution" sheetId="4" r:id="rId7"/>
  </sheets>
  <definedNames>
    <definedName name="_xlnm._FilterDatabase" localSheetId="3" hidden="1">FC_PPA!$A$3:$AU$3</definedName>
    <definedName name="_xlnm._FilterDatabase" localSheetId="1" hidden="1">Other!$A$3:$C$3</definedName>
    <definedName name="_xlnm._FilterDatabase" localSheetId="2" hidden="1">'Plant Data'!$A$3:$I$3</definedName>
    <definedName name="_xlnm._FilterDatabase" localSheetId="4" hidden="1">Price_Gen!$A$3:$AV$3</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16" i="8" l="1"/>
  <c r="A15" i="8"/>
  <c r="A14" i="8"/>
  <c r="A13" i="8"/>
  <c r="A12" i="8"/>
  <c r="A11" i="8"/>
  <c r="A10" i="8"/>
  <c r="A9" i="8"/>
  <c r="A8" i="8"/>
  <c r="B4" i="2"/>
  <c r="A4" i="2"/>
  <c r="B5" i="2"/>
  <c r="A24" i="4"/>
  <c r="A25" i="4" s="1"/>
  <c r="A26" i="4" s="1"/>
  <c r="A27" i="4" s="1"/>
  <c r="A28" i="4" s="1"/>
  <c r="A29" i="4" s="1"/>
  <c r="A30" i="4" s="1"/>
  <c r="A31" i="4" s="1"/>
  <c r="A32" i="4" s="1"/>
  <c r="A33" i="4" s="1"/>
  <c r="A34" i="4" s="1"/>
  <c r="A35" i="4" s="1"/>
  <c r="A36" i="4" s="1"/>
  <c r="A37" i="4" s="1"/>
  <c r="A38" i="4" s="1"/>
  <c r="A39" i="4" s="1"/>
  <c r="A40" i="4" s="1"/>
  <c r="A41" i="4" s="1"/>
  <c r="A42" i="4" s="1"/>
  <c r="A43" i="4" s="1"/>
  <c r="A44" i="4" s="1"/>
  <c r="A45" i="4" s="1"/>
  <c r="A46" i="4" s="1"/>
  <c r="A47" i="4" s="1"/>
  <c r="A48" i="4" s="1"/>
  <c r="A49" i="4" s="1"/>
  <c r="A50" i="4" s="1"/>
  <c r="A6" i="4"/>
  <c r="A7" i="4"/>
  <c r="A8" i="4" s="1"/>
  <c r="A9" i="4" s="1"/>
  <c r="A10" i="4" s="1"/>
  <c r="A11" i="4" s="1"/>
  <c r="A12" i="4" s="1"/>
  <c r="A13" i="4" s="1"/>
  <c r="A14" i="4" s="1"/>
  <c r="A15" i="4" s="1"/>
  <c r="A16" i="4" s="1"/>
  <c r="A17" i="4" s="1"/>
  <c r="A18" i="4" s="1"/>
  <c r="A19" i="4" s="1"/>
  <c r="A20" i="4" s="1"/>
  <c r="A21" i="4" s="1"/>
  <c r="A22" i="4" s="1"/>
  <c r="A23" i="4" s="1"/>
  <c r="A5" i="4"/>
  <c r="A4" i="4"/>
  <c r="D5" i="1"/>
  <c r="D6" i="1"/>
  <c r="D7" i="1"/>
  <c r="D8" i="1"/>
  <c r="D9" i="1"/>
  <c r="D10" i="1"/>
  <c r="D11" i="1"/>
  <c r="D12" i="1"/>
  <c r="D13" i="1"/>
  <c r="D14" i="1"/>
  <c r="D15" i="1"/>
  <c r="D16" i="1"/>
  <c r="D17" i="1"/>
  <c r="D18" i="1"/>
  <c r="D19" i="1"/>
  <c r="D20" i="1"/>
  <c r="D21" i="1"/>
  <c r="D22" i="1"/>
  <c r="D23" i="1"/>
  <c r="D24" i="1"/>
  <c r="D25" i="1"/>
  <c r="D26" i="1"/>
  <c r="D27" i="1"/>
  <c r="D28" i="1"/>
  <c r="D29" i="1"/>
  <c r="D30" i="1"/>
  <c r="D31" i="1"/>
  <c r="D32" i="1"/>
  <c r="D33" i="1"/>
  <c r="D34" i="1"/>
  <c r="D35" i="1"/>
  <c r="D36" i="1"/>
  <c r="D37" i="1"/>
  <c r="D38" i="1"/>
  <c r="D39" i="1"/>
  <c r="D40" i="1"/>
  <c r="D41" i="1"/>
  <c r="D42" i="1"/>
  <c r="D43" i="1"/>
  <c r="D44" i="1"/>
  <c r="D45" i="1"/>
  <c r="D46" i="1"/>
  <c r="D47" i="1"/>
  <c r="D48" i="1"/>
  <c r="D49" i="1"/>
  <c r="D50" i="1"/>
  <c r="D51" i="1"/>
  <c r="D52" i="1"/>
  <c r="D53" i="1"/>
  <c r="D54" i="1"/>
  <c r="D55" i="1"/>
  <c r="D56" i="1"/>
  <c r="D57" i="1"/>
  <c r="D58" i="1"/>
  <c r="D59" i="1"/>
  <c r="D60" i="1"/>
  <c r="D61" i="1"/>
  <c r="D62" i="1"/>
  <c r="D63" i="1"/>
  <c r="D64" i="1"/>
  <c r="D65" i="1"/>
  <c r="D66" i="1"/>
  <c r="D67" i="1"/>
  <c r="D68" i="1"/>
  <c r="D69" i="1"/>
  <c r="D70" i="1"/>
  <c r="D71" i="1"/>
  <c r="D72" i="1"/>
  <c r="D73" i="1"/>
  <c r="D74" i="1"/>
  <c r="D75" i="1"/>
  <c r="D76" i="1"/>
  <c r="D77" i="1"/>
  <c r="D78" i="1"/>
  <c r="D79" i="1"/>
  <c r="D80" i="1"/>
  <c r="D81" i="1"/>
  <c r="D82" i="1"/>
  <c r="D83" i="1"/>
  <c r="D84" i="1"/>
  <c r="D85" i="1"/>
  <c r="D86" i="1"/>
  <c r="D87" i="1"/>
  <c r="D88" i="1"/>
  <c r="D89" i="1"/>
  <c r="D90" i="1"/>
  <c r="D91" i="1"/>
  <c r="D92" i="1"/>
  <c r="D93" i="1"/>
  <c r="D94" i="1"/>
  <c r="D95" i="1"/>
  <c r="D96" i="1"/>
  <c r="D97" i="1"/>
  <c r="D98" i="1"/>
  <c r="D99" i="1"/>
  <c r="D100" i="1"/>
  <c r="D101" i="1"/>
  <c r="D102" i="1"/>
  <c r="D103" i="1"/>
  <c r="D104" i="1"/>
  <c r="D105" i="1"/>
  <c r="D106" i="1"/>
  <c r="D107" i="1"/>
  <c r="D108" i="1"/>
  <c r="D109" i="1"/>
  <c r="D110" i="1"/>
  <c r="D111" i="1"/>
  <c r="D112" i="1"/>
  <c r="D113" i="1"/>
  <c r="D114" i="1"/>
  <c r="D115" i="1"/>
  <c r="D116" i="1"/>
  <c r="D117" i="1"/>
  <c r="D118" i="1"/>
  <c r="D119" i="1"/>
  <c r="D4" i="1"/>
  <c r="B86" i="3" l="1"/>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A52" i="2"/>
  <c r="A51" i="2"/>
  <c r="A50" i="2"/>
  <c r="A49" i="2"/>
  <c r="A48" i="2"/>
  <c r="A47" i="2"/>
  <c r="A46" i="2"/>
  <c r="A45" i="2"/>
  <c r="A44" i="2"/>
  <c r="A43" i="2"/>
  <c r="A42" i="2"/>
  <c r="A41" i="2"/>
  <c r="A40" i="2"/>
  <c r="A39" i="2"/>
  <c r="A38" i="2"/>
  <c r="A37" i="2"/>
  <c r="A36" i="2"/>
  <c r="A35" i="2"/>
  <c r="A34" i="2"/>
  <c r="A33" i="2"/>
  <c r="A32" i="2"/>
  <c r="A31" i="2"/>
  <c r="A30" i="2"/>
  <c r="A29" i="2"/>
  <c r="A28" i="2"/>
  <c r="A27" i="2"/>
  <c r="A26" i="2"/>
  <c r="A25" i="2"/>
  <c r="A24" i="2"/>
  <c r="A23" i="2"/>
  <c r="A22" i="2"/>
  <c r="A21" i="2"/>
  <c r="A20" i="2"/>
  <c r="A19" i="2"/>
  <c r="A18" i="2"/>
  <c r="A17" i="2"/>
  <c r="A16" i="2"/>
  <c r="A15" i="2"/>
  <c r="A14" i="2"/>
  <c r="A13" i="2"/>
  <c r="A12" i="2"/>
  <c r="A11" i="2"/>
  <c r="A10" i="2"/>
  <c r="A9" i="2"/>
  <c r="A8" i="2"/>
  <c r="A7" i="2"/>
  <c r="A6" i="2"/>
  <c r="A5" i="2"/>
  <c r="B52" i="2"/>
  <c r="B51" i="2"/>
  <c r="B17" i="2"/>
  <c r="B16" i="2"/>
  <c r="B15" i="2"/>
  <c r="B14" i="2"/>
  <c r="B13" i="2"/>
  <c r="B12" i="2"/>
  <c r="B11" i="2"/>
  <c r="B10" i="2"/>
  <c r="B9" i="2"/>
  <c r="B8" i="2"/>
  <c r="B7" i="2"/>
  <c r="B6" i="2"/>
  <c r="C3" i="2" l="1"/>
  <c r="B3" i="6"/>
  <c r="C3" i="6" s="1"/>
  <c r="D3" i="6" s="1"/>
  <c r="E3" i="6" s="1"/>
  <c r="F3" i="6" s="1"/>
  <c r="G3" i="6" s="1"/>
  <c r="H3" i="6" s="1"/>
  <c r="I3" i="6" s="1"/>
  <c r="J3" i="6" s="1"/>
  <c r="K3" i="6" s="1"/>
  <c r="L3" i="6" s="1"/>
  <c r="M3" i="6" s="1"/>
  <c r="N3" i="6" s="1"/>
  <c r="O3" i="6" s="1"/>
  <c r="P3" i="6" s="1"/>
  <c r="Q3" i="6" s="1"/>
  <c r="R3" i="6" s="1"/>
  <c r="S3" i="6" s="1"/>
  <c r="T3" i="6" s="1"/>
  <c r="U3" i="6" s="1"/>
  <c r="V3" i="6" s="1"/>
  <c r="W3" i="6" s="1"/>
  <c r="X3" i="6" s="1"/>
  <c r="Y3" i="6" s="1"/>
  <c r="Z3" i="6" s="1"/>
  <c r="AA3" i="6" s="1"/>
  <c r="AB3" i="6" s="1"/>
  <c r="AC3" i="6" s="1"/>
  <c r="AD3" i="6" s="1"/>
  <c r="AE3" i="6" s="1"/>
  <c r="AF3" i="6" s="1"/>
  <c r="AG3" i="6" s="1"/>
  <c r="AH3" i="6" s="1"/>
  <c r="AI3" i="6" s="1"/>
  <c r="AJ3" i="6" s="1"/>
  <c r="AK3" i="6" s="1"/>
  <c r="AL3" i="6" s="1"/>
  <c r="AM3" i="6" s="1"/>
  <c r="AN3" i="6" s="1"/>
  <c r="AO3" i="6" s="1"/>
  <c r="AP3" i="6" s="1"/>
  <c r="AQ3" i="6" s="1"/>
  <c r="AR3" i="6" s="1"/>
  <c r="AS3" i="6" s="1"/>
  <c r="AT3" i="6" s="1"/>
  <c r="AU3" i="6" s="1"/>
  <c r="B12" i="3"/>
  <c r="B13" i="3"/>
  <c r="B14" i="3"/>
  <c r="B15" i="3"/>
  <c r="B16" i="3"/>
  <c r="B17" i="3"/>
  <c r="B11" i="3"/>
  <c r="B4" i="3"/>
  <c r="B5" i="3"/>
  <c r="B6" i="3"/>
  <c r="B7" i="3"/>
  <c r="B8" i="3"/>
  <c r="B9" i="3"/>
  <c r="B10" i="3"/>
  <c r="A62" i="2"/>
  <c r="A63" i="2"/>
  <c r="A64" i="2"/>
  <c r="A283" i="6"/>
  <c r="B283" i="6"/>
  <c r="A284" i="6"/>
  <c r="B284" i="6"/>
  <c r="A285" i="6"/>
  <c r="B285" i="6"/>
  <c r="A286" i="6"/>
  <c r="B286" i="6"/>
  <c r="A287" i="6"/>
  <c r="B287" i="6"/>
  <c r="A288" i="6"/>
  <c r="B288" i="6"/>
  <c r="A289" i="6"/>
  <c r="B289" i="6"/>
  <c r="A290" i="6"/>
  <c r="B290" i="6"/>
  <c r="A291" i="6"/>
  <c r="B291" i="6"/>
  <c r="A292" i="6"/>
  <c r="B292" i="6"/>
  <c r="A293" i="6"/>
  <c r="B293" i="6"/>
  <c r="A294" i="6"/>
  <c r="B294" i="6"/>
  <c r="A295" i="6"/>
  <c r="B295" i="6"/>
  <c r="A296" i="6"/>
  <c r="B296" i="6"/>
  <c r="A297" i="6"/>
  <c r="B297" i="6"/>
  <c r="A298" i="6"/>
  <c r="B298" i="6"/>
  <c r="A299" i="6"/>
  <c r="B299" i="6"/>
  <c r="A300" i="6"/>
  <c r="B300" i="6"/>
  <c r="A206" i="6"/>
  <c r="B206" i="6"/>
  <c r="A207" i="6"/>
  <c r="B207" i="6"/>
  <c r="A208" i="6"/>
  <c r="B208" i="6"/>
  <c r="A209" i="6"/>
  <c r="B209" i="6"/>
  <c r="A210" i="6"/>
  <c r="B210" i="6"/>
  <c r="A211" i="6"/>
  <c r="B211" i="6"/>
  <c r="A212" i="6"/>
  <c r="B212" i="6"/>
  <c r="A213" i="6"/>
  <c r="B213" i="6"/>
  <c r="A214" i="6"/>
  <c r="B214" i="6"/>
  <c r="A215" i="6"/>
  <c r="B215" i="6"/>
  <c r="A216" i="6"/>
  <c r="B216" i="6"/>
  <c r="A217" i="6"/>
  <c r="B217" i="6"/>
  <c r="A218" i="6"/>
  <c r="B218" i="6"/>
  <c r="A219" i="6"/>
  <c r="B219" i="6"/>
  <c r="A220" i="6"/>
  <c r="B220" i="6"/>
  <c r="A221" i="6"/>
  <c r="B221" i="6"/>
  <c r="A222" i="6"/>
  <c r="B222" i="6"/>
  <c r="A223" i="6"/>
  <c r="B223" i="6"/>
  <c r="A224" i="6"/>
  <c r="B224" i="6"/>
  <c r="A225" i="6"/>
  <c r="B225" i="6"/>
  <c r="A226" i="6"/>
  <c r="B226" i="6"/>
  <c r="A227" i="6"/>
  <c r="B227" i="6"/>
  <c r="A228" i="6"/>
  <c r="B228" i="6"/>
  <c r="A229" i="6"/>
  <c r="B229" i="6"/>
  <c r="A230" i="6"/>
  <c r="B230" i="6"/>
  <c r="A231" i="6"/>
  <c r="B231" i="6"/>
  <c r="A232" i="6"/>
  <c r="B232" i="6"/>
  <c r="A233" i="6"/>
  <c r="B233" i="6"/>
  <c r="A234" i="6"/>
  <c r="B234" i="6"/>
  <c r="A235" i="6"/>
  <c r="B235" i="6"/>
  <c r="A236" i="6"/>
  <c r="B236" i="6"/>
  <c r="A237" i="6"/>
  <c r="B237" i="6"/>
  <c r="A238" i="6"/>
  <c r="B238" i="6"/>
  <c r="A239" i="6"/>
  <c r="B239" i="6"/>
  <c r="A240" i="6"/>
  <c r="B240" i="6"/>
  <c r="A241" i="6"/>
  <c r="B241" i="6"/>
  <c r="A242" i="6"/>
  <c r="B242" i="6"/>
  <c r="A243" i="6"/>
  <c r="B243" i="6"/>
  <c r="A244" i="6"/>
  <c r="B244" i="6"/>
  <c r="A245" i="6"/>
  <c r="B245" i="6"/>
  <c r="A246" i="6"/>
  <c r="B246" i="6"/>
  <c r="A247" i="6"/>
  <c r="B247" i="6"/>
  <c r="A248" i="6"/>
  <c r="B248" i="6"/>
  <c r="A249" i="6"/>
  <c r="B249" i="6"/>
  <c r="A250" i="6"/>
  <c r="B250" i="6"/>
  <c r="A251" i="6"/>
  <c r="B251" i="6"/>
  <c r="A252" i="6"/>
  <c r="B252" i="6"/>
  <c r="A253" i="6"/>
  <c r="B253" i="6"/>
  <c r="A254" i="6"/>
  <c r="B254" i="6"/>
  <c r="A255" i="6"/>
  <c r="B255" i="6"/>
  <c r="A256" i="6"/>
  <c r="B256" i="6"/>
  <c r="A257" i="6"/>
  <c r="B257" i="6"/>
  <c r="A258" i="6"/>
  <c r="B258" i="6"/>
  <c r="A259" i="6"/>
  <c r="B259" i="6"/>
  <c r="A260" i="6"/>
  <c r="B260" i="6"/>
  <c r="A261" i="6"/>
  <c r="B261" i="6"/>
  <c r="A262" i="6"/>
  <c r="B262" i="6"/>
  <c r="A263" i="6"/>
  <c r="B263" i="6"/>
  <c r="A264" i="6"/>
  <c r="B264" i="6"/>
  <c r="A265" i="6"/>
  <c r="B265" i="6"/>
  <c r="A266" i="6"/>
  <c r="B266" i="6"/>
  <c r="A267" i="6"/>
  <c r="B267" i="6"/>
  <c r="A268" i="6"/>
  <c r="B268" i="6"/>
  <c r="A269" i="6"/>
  <c r="B269" i="6"/>
  <c r="A270" i="6"/>
  <c r="B270" i="6"/>
  <c r="A271" i="6"/>
  <c r="B271" i="6"/>
  <c r="A272" i="6"/>
  <c r="B272" i="6"/>
  <c r="A273" i="6"/>
  <c r="B273" i="6"/>
  <c r="A274" i="6"/>
  <c r="B274" i="6"/>
  <c r="A275" i="6"/>
  <c r="B275" i="6"/>
  <c r="A276" i="6"/>
  <c r="B276" i="6"/>
  <c r="A277" i="6"/>
  <c r="B277" i="6"/>
  <c r="A278" i="6"/>
  <c r="B278" i="6"/>
  <c r="A279" i="6"/>
  <c r="B279" i="6"/>
  <c r="A280" i="6"/>
  <c r="B280" i="6"/>
  <c r="A281" i="6"/>
  <c r="B281" i="6"/>
  <c r="A282" i="6"/>
  <c r="B282" i="6"/>
  <c r="A110" i="6"/>
  <c r="A111" i="6"/>
  <c r="A112" i="6"/>
  <c r="A113" i="6"/>
  <c r="A114" i="6"/>
  <c r="A115" i="6"/>
  <c r="A116" i="6"/>
  <c r="A117" i="6"/>
  <c r="A118" i="6"/>
  <c r="A119" i="6"/>
  <c r="A120" i="6"/>
  <c r="B120" i="6"/>
  <c r="A121" i="6"/>
  <c r="B121" i="6"/>
  <c r="A122" i="6"/>
  <c r="B122" i="6"/>
  <c r="A123" i="6"/>
  <c r="B123" i="6"/>
  <c r="A124" i="6"/>
  <c r="B124" i="6"/>
  <c r="A125" i="6"/>
  <c r="B125" i="6"/>
  <c r="A126" i="6"/>
  <c r="B126" i="6"/>
  <c r="A127" i="6"/>
  <c r="B127" i="6"/>
  <c r="A128" i="6"/>
  <c r="B128" i="6"/>
  <c r="A129" i="6"/>
  <c r="B129" i="6"/>
  <c r="A130" i="6"/>
  <c r="B130" i="6"/>
  <c r="A131" i="6"/>
  <c r="B131" i="6"/>
  <c r="A132" i="6"/>
  <c r="B132" i="6"/>
  <c r="A133" i="6"/>
  <c r="B133" i="6"/>
  <c r="A134" i="6"/>
  <c r="B134" i="6"/>
  <c r="A135" i="6"/>
  <c r="B135" i="6"/>
  <c r="A136" i="6"/>
  <c r="B136" i="6"/>
  <c r="A137" i="6"/>
  <c r="B137" i="6"/>
  <c r="A138" i="6"/>
  <c r="B138" i="6"/>
  <c r="A139" i="6"/>
  <c r="B139" i="6"/>
  <c r="A140" i="6"/>
  <c r="B140" i="6"/>
  <c r="A141" i="6"/>
  <c r="B141" i="6"/>
  <c r="A142" i="6"/>
  <c r="B142" i="6"/>
  <c r="A143" i="6"/>
  <c r="B143" i="6"/>
  <c r="A144" i="6"/>
  <c r="B144" i="6"/>
  <c r="A145" i="6"/>
  <c r="B145" i="6"/>
  <c r="A146" i="6"/>
  <c r="B146" i="6"/>
  <c r="A147" i="6"/>
  <c r="B147" i="6"/>
  <c r="A148" i="6"/>
  <c r="B148" i="6"/>
  <c r="A149" i="6"/>
  <c r="B149" i="6"/>
  <c r="A150" i="6"/>
  <c r="B150" i="6"/>
  <c r="A151" i="6"/>
  <c r="B151" i="6"/>
  <c r="A152" i="6"/>
  <c r="B152" i="6"/>
  <c r="A153" i="6"/>
  <c r="B153" i="6"/>
  <c r="A154" i="6"/>
  <c r="B154" i="6"/>
  <c r="A155" i="6"/>
  <c r="B155" i="6"/>
  <c r="A156" i="6"/>
  <c r="B156" i="6"/>
  <c r="A157" i="6"/>
  <c r="B157" i="6"/>
  <c r="A158" i="6"/>
  <c r="B158" i="6"/>
  <c r="A159" i="6"/>
  <c r="B159" i="6"/>
  <c r="A160" i="6"/>
  <c r="B160" i="6"/>
  <c r="A161" i="6"/>
  <c r="B161" i="6"/>
  <c r="A162" i="6"/>
  <c r="B162" i="6"/>
  <c r="A163" i="6"/>
  <c r="B163" i="6"/>
  <c r="A164" i="6"/>
  <c r="B164" i="6"/>
  <c r="A165" i="6"/>
  <c r="B165" i="6"/>
  <c r="A166" i="6"/>
  <c r="B166" i="6"/>
  <c r="A167" i="6"/>
  <c r="B167" i="6"/>
  <c r="A168" i="6"/>
  <c r="B168" i="6"/>
  <c r="A169" i="6"/>
  <c r="B169" i="6"/>
  <c r="A170" i="6"/>
  <c r="B170" i="6"/>
  <c r="A171" i="6"/>
  <c r="B171" i="6"/>
  <c r="A172" i="6"/>
  <c r="B172" i="6"/>
  <c r="A173" i="6"/>
  <c r="B173" i="6"/>
  <c r="A174" i="6"/>
  <c r="B174" i="6"/>
  <c r="A175" i="6"/>
  <c r="B175" i="6"/>
  <c r="A176" i="6"/>
  <c r="B176" i="6"/>
  <c r="A177" i="6"/>
  <c r="B177" i="6"/>
  <c r="A178" i="6"/>
  <c r="B178" i="6"/>
  <c r="A179" i="6"/>
  <c r="B179" i="6"/>
  <c r="A180" i="6"/>
  <c r="B180" i="6"/>
  <c r="A181" i="6"/>
  <c r="B181" i="6"/>
  <c r="A182" i="6"/>
  <c r="B182" i="6"/>
  <c r="A183" i="6"/>
  <c r="B183" i="6"/>
  <c r="A184" i="6"/>
  <c r="B184" i="6"/>
  <c r="A185" i="6"/>
  <c r="B185" i="6"/>
  <c r="A186" i="6"/>
  <c r="B186" i="6"/>
  <c r="A187" i="6"/>
  <c r="B187" i="6"/>
  <c r="A188" i="6"/>
  <c r="B188" i="6"/>
  <c r="A189" i="6"/>
  <c r="B189" i="6"/>
  <c r="A190" i="6"/>
  <c r="B190" i="6"/>
  <c r="A191" i="6"/>
  <c r="B191" i="6"/>
  <c r="A192" i="6"/>
  <c r="B192" i="6"/>
  <c r="A193" i="6"/>
  <c r="B193" i="6"/>
  <c r="A194" i="6"/>
  <c r="B194" i="6"/>
  <c r="A195" i="6"/>
  <c r="B195" i="6"/>
  <c r="A196" i="6"/>
  <c r="B196" i="6"/>
  <c r="A197" i="6"/>
  <c r="B197" i="6"/>
  <c r="A198" i="6"/>
  <c r="B198" i="6"/>
  <c r="A199" i="6"/>
  <c r="B199" i="6"/>
  <c r="A200" i="6"/>
  <c r="B200" i="6"/>
  <c r="A201" i="6"/>
  <c r="B201" i="6"/>
  <c r="A202" i="6"/>
  <c r="B202" i="6"/>
  <c r="A203" i="6"/>
  <c r="B203" i="6"/>
  <c r="A204" i="6"/>
  <c r="B204" i="6"/>
  <c r="A205" i="6"/>
  <c r="B205" i="6"/>
  <c r="A72" i="6"/>
  <c r="A73" i="6"/>
  <c r="A74" i="6"/>
  <c r="A75" i="6"/>
  <c r="A76" i="6"/>
  <c r="A77" i="6"/>
  <c r="A78" i="6"/>
  <c r="A79" i="6"/>
  <c r="A80" i="6"/>
  <c r="A81" i="6"/>
  <c r="A82" i="6"/>
  <c r="A83" i="6"/>
  <c r="A84" i="6"/>
  <c r="A85" i="6"/>
  <c r="A86" i="6"/>
  <c r="A87" i="6"/>
  <c r="A88" i="6"/>
  <c r="A89" i="6"/>
  <c r="A90" i="6"/>
  <c r="A91" i="6"/>
  <c r="A92" i="6"/>
  <c r="A93" i="6"/>
  <c r="A94" i="6"/>
  <c r="A95" i="6"/>
  <c r="A96" i="6"/>
  <c r="A97" i="6"/>
  <c r="A98" i="6"/>
  <c r="A99" i="6"/>
  <c r="A100" i="6"/>
  <c r="A101" i="6"/>
  <c r="A102" i="6"/>
  <c r="A103" i="6"/>
  <c r="A104" i="6"/>
  <c r="A105" i="6"/>
  <c r="A106" i="6"/>
  <c r="A107" i="6"/>
  <c r="A108" i="6"/>
  <c r="A109" i="6"/>
  <c r="A46" i="6"/>
  <c r="A47" i="6"/>
  <c r="A48" i="6"/>
  <c r="A49" i="6"/>
  <c r="A50" i="6"/>
  <c r="A51" i="6"/>
  <c r="A52" i="6"/>
  <c r="A53" i="6"/>
  <c r="A54" i="6"/>
  <c r="A55" i="6"/>
  <c r="A56" i="6"/>
  <c r="A57" i="6"/>
  <c r="A58" i="6"/>
  <c r="A59" i="6"/>
  <c r="A60" i="6"/>
  <c r="A61" i="6"/>
  <c r="A62" i="6"/>
  <c r="A63" i="6"/>
  <c r="A64" i="6"/>
  <c r="A65" i="6"/>
  <c r="A66" i="6"/>
  <c r="A67" i="6"/>
  <c r="A68" i="6"/>
  <c r="A69" i="6"/>
  <c r="A70" i="6"/>
  <c r="A71" i="6"/>
  <c r="A5" i="6"/>
  <c r="A6" i="6"/>
  <c r="A7" i="6"/>
  <c r="A8" i="6"/>
  <c r="A9" i="6"/>
  <c r="A10" i="6"/>
  <c r="A11" i="6"/>
  <c r="A12" i="6"/>
  <c r="A13" i="6"/>
  <c r="A14" i="6"/>
  <c r="A15" i="6"/>
  <c r="A16" i="6"/>
  <c r="A17" i="6"/>
  <c r="A18" i="6"/>
  <c r="A19" i="6"/>
  <c r="A20" i="6"/>
  <c r="A21" i="6"/>
  <c r="A22" i="6"/>
  <c r="A23" i="6"/>
  <c r="A24" i="6"/>
  <c r="A25" i="6"/>
  <c r="A26" i="6"/>
  <c r="A27" i="6"/>
  <c r="A28" i="6"/>
  <c r="A29" i="6"/>
  <c r="A30" i="6"/>
  <c r="A31" i="6"/>
  <c r="A32" i="6"/>
  <c r="A33" i="6"/>
  <c r="A34" i="6"/>
  <c r="A35" i="6"/>
  <c r="A36" i="6"/>
  <c r="A37" i="6"/>
  <c r="A38" i="6"/>
  <c r="A39" i="6"/>
  <c r="A40" i="6"/>
  <c r="A41" i="6"/>
  <c r="A42" i="6"/>
  <c r="A43" i="6"/>
  <c r="A44" i="6"/>
  <c r="A45" i="6"/>
  <c r="A4" i="6"/>
  <c r="D3" i="2" l="1"/>
  <c r="E3" i="2" s="1"/>
  <c r="F3" i="2" s="1"/>
  <c r="G3" i="2" s="1"/>
  <c r="H3" i="2" s="1"/>
  <c r="I3" i="2" s="1"/>
  <c r="J3" i="2" s="1"/>
  <c r="K3" i="2" s="1"/>
  <c r="L3" i="2" s="1"/>
  <c r="M3" i="2" s="1"/>
  <c r="N3" i="2" s="1"/>
  <c r="O3" i="2" s="1"/>
  <c r="P3" i="2" s="1"/>
  <c r="Q3" i="2" s="1"/>
  <c r="R3" i="2" s="1"/>
  <c r="S3" i="2" s="1"/>
  <c r="T3" i="2" s="1"/>
  <c r="U3" i="2" s="1"/>
  <c r="V3" i="2" s="1"/>
  <c r="W3" i="2" s="1"/>
  <c r="X3" i="2" s="1"/>
  <c r="Y3" i="2" s="1"/>
  <c r="Z3" i="2" s="1"/>
  <c r="AA3" i="2" s="1"/>
  <c r="AB3" i="2" s="1"/>
  <c r="AC3" i="2" s="1"/>
  <c r="AD3" i="2" s="1"/>
  <c r="AE3" i="2" s="1"/>
  <c r="AF3" i="2" s="1"/>
  <c r="AG3" i="2" s="1"/>
  <c r="AH3" i="2" s="1"/>
  <c r="AI3" i="2" s="1"/>
  <c r="AJ3" i="2" s="1"/>
  <c r="AK3" i="2" s="1"/>
  <c r="AL3" i="2" s="1"/>
  <c r="AM3" i="2" s="1"/>
  <c r="AN3" i="2" s="1"/>
  <c r="AO3" i="2" s="1"/>
  <c r="AP3" i="2" s="1"/>
  <c r="AQ3" i="2" s="1"/>
  <c r="AR3" i="2" s="1"/>
  <c r="AS3" i="2" s="1"/>
  <c r="AT3" i="2" s="1"/>
  <c r="AU3" i="2" s="1"/>
  <c r="AV3" i="2" s="1"/>
  <c r="N14" i="4"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tc={3BD7891D-DDFF-604C-8D68-29212CB35E69}</author>
    <author>tc={B8C6B05E-4CDC-904A-AD00-4725E3CBDF40}</author>
    <author>tc={1B8FC702-A51A-C64D-8E86-E948306660D3}</author>
    <author>tc={67F2F948-7F51-254D-88B2-641DDC23EB87}</author>
  </authors>
  <commentList>
    <comment ref="B3" authorId="0" shapeId="0" xr:uid="{3BD7891D-DDFF-604C-8D68-29212CB35E69}">
      <text>
        <t>[Threaded comment]
Your version of Excel allows you to read this threaded comment; however, any edits to it will get removed if the file is opened in a newer version of Excel. Learn more: https://go.microsoft.com/fwlink/?linkid=870924
Comment:
    Variable costs- operational, maintenance and fuel costs.
UNITS- ($/MWh)</t>
      </text>
    </comment>
    <comment ref="C3" authorId="1" shapeId="0" xr:uid="{B8C6B05E-4CDC-904A-AD00-4725E3CBDF40}">
      <text>
        <t>[Threaded comment]
Your version of Excel allows you to read this threaded comment; however, any edits to it will get removed if the file is opened in a newer version of Excel. Learn more: https://go.microsoft.com/fwlink/?linkid=870924
Comment:
    This is only used to calculate PPA cost, if you have PPA information you don’t need to complete this column. If you do not need to complete the column you need to delete a section of the GAMs code- go to line 59 and delete the “+ cost” at the end of the line
UNITS- ($/MW/year)</t>
      </text>
    </comment>
    <comment ref="E3" authorId="2" shapeId="0" xr:uid="{1B8FC702-A51A-C64D-8E86-E948306660D3}">
      <text>
        <t>[Threaded comment]
Your version of Excel allows you to read this threaded comment; however, any edits to it will get removed if the file is opened in a newer version of Excel. Learn more: https://go.microsoft.com/fwlink/?linkid=870924
Comment:
    Can use Dual Values from OSeMOSYS if this information isn’t available open source</t>
      </text>
    </comment>
    <comment ref="F3" authorId="3" shapeId="0" xr:uid="{67F2F948-7F51-254D-88B2-641DDC23EB87}">
      <text>
        <t>[Threaded comment]
Your version of Excel allows you to read this threaded comment; however, any edits to it will get removed if the file is opened in a newer version of Excel. Learn more: https://go.microsoft.com/fwlink/?linkid=870924
Comment:
    UNITS- MW</t>
      </text>
    </comment>
  </commentList>
</comments>
</file>

<file path=xl/sharedStrings.xml><?xml version="1.0" encoding="utf-8"?>
<sst xmlns="http://schemas.openxmlformats.org/spreadsheetml/2006/main" count="626" uniqueCount="230">
  <si>
    <t>FFRM</t>
  </si>
  <si>
    <t>Fossil Fuel Retirement Model</t>
  </si>
  <si>
    <t>FFRM Input File - Guide</t>
  </si>
  <si>
    <t>Document structure</t>
  </si>
  <si>
    <t>Version 1.0</t>
  </si>
  <si>
    <t xml:space="preserve">     Other</t>
  </si>
  <si>
    <t>The Fossil Fuel Retirement Model (FFRM), is a ….</t>
  </si>
  <si>
    <t xml:space="preserve">     Plant Data</t>
  </si>
  <si>
    <t xml:space="preserve">     FC_PPA</t>
  </si>
  <si>
    <t xml:space="preserve">     Price_Gen</t>
  </si>
  <si>
    <t xml:space="preserve">     Price_Distribution</t>
  </si>
  <si>
    <t>Parameter Constraints</t>
  </si>
  <si>
    <t>-</t>
  </si>
  <si>
    <t xml:space="preserve">      CCG in Collaboration With: </t>
  </si>
  <si>
    <t>Name</t>
  </si>
  <si>
    <t>Description</t>
  </si>
  <si>
    <t>Capacity (MW)</t>
  </si>
  <si>
    <t>Capital Cost</t>
  </si>
  <si>
    <t>The parameter capital cost refers to the initial investment required for the construction or acquisition of long-term energy infrastructure, such as power plants or renewable energy systems, typically expressed in $/kW.</t>
  </si>
  <si>
    <t>CostEsc_10-30years</t>
  </si>
  <si>
    <t>CAGR at which plant varible costs are escalated, for plants between 10 and 30 years old</t>
  </si>
  <si>
    <t>CostEsc_30plus</t>
  </si>
  <si>
    <t>CAGR at which plant varible costs are escalated, for plants older than 30 years</t>
  </si>
  <si>
    <t>CostEsc_Lessthan10</t>
  </si>
  <si>
    <t>CAGR at which plant varible costs are escalated, for plants less than 10 years old</t>
  </si>
  <si>
    <t>Scenarios</t>
  </si>
  <si>
    <t>Technologies</t>
  </si>
  <si>
    <t>Discount Rate</t>
  </si>
  <si>
    <t>The parameter discount rate refers to the rate used to discount future cash flows to their present value, based on the future weighted average cost of capital (WACC).</t>
  </si>
  <si>
    <t>Electricity Production</t>
  </si>
  <si>
    <t>The parameter electricity production refers to the total amount of electricity generated at a national scale, expressed in petajoules (PJ).</t>
  </si>
  <si>
    <t>BAU</t>
  </si>
  <si>
    <t>Scenario Name 1 (Baseline)</t>
  </si>
  <si>
    <t>PWRCOA001</t>
  </si>
  <si>
    <t>Coal power plant</t>
  </si>
  <si>
    <t>Fixed Cost</t>
  </si>
  <si>
    <t>The parameter fixed cost refers to the ongoing expenses that remain constant over time, regardless of the level of energy production, such as maintenance or operational costs,  typically expressed in millions of USD.</t>
  </si>
  <si>
    <t>Scenario Name 2 (More Ambitious)</t>
  </si>
  <si>
    <t>PWROHC001</t>
  </si>
  <si>
    <t>Light fuel oil power plant</t>
  </si>
  <si>
    <t>Generation (TWh)</t>
  </si>
  <si>
    <t>PWROHC002</t>
  </si>
  <si>
    <t>Oil fired gas turbine - SCGT</t>
  </si>
  <si>
    <t>Interest Rate</t>
  </si>
  <si>
    <t>PWRNGS001</t>
  </si>
  <si>
    <t>Natural gas power plant - CCGT</t>
  </si>
  <si>
    <t>Loan Term</t>
  </si>
  <si>
    <t>PWRNGS002</t>
  </si>
  <si>
    <t>Nautral gas power plant - SCGT</t>
  </si>
  <si>
    <t>Marginal Revenue ($/MWh)</t>
  </si>
  <si>
    <t>PWROHC003</t>
  </si>
  <si>
    <t>Light fuel oil standalone generator (1kW)</t>
  </si>
  <si>
    <t>Market Price ($/MWh)</t>
  </si>
  <si>
    <t>MaxLife</t>
  </si>
  <si>
    <t>Max life beyond which plant must be retired</t>
  </si>
  <si>
    <t>MaxPLF</t>
  </si>
  <si>
    <t>Max PLF</t>
  </si>
  <si>
    <t>Consumer Segments</t>
  </si>
  <si>
    <t>Start Year</t>
  </si>
  <si>
    <t>MinPLF</t>
  </si>
  <si>
    <t>Minimum PLF below which plant is retired</t>
  </si>
  <si>
    <t>End Year</t>
  </si>
  <si>
    <t>Name of Project</t>
  </si>
  <si>
    <t xml:space="preserve">The name of the project receiving financing.  </t>
  </si>
  <si>
    <t>Residential</t>
  </si>
  <si>
    <t>Households and individual consumers that use electricity for daily living activities, such as lighting, appliances, and heating.</t>
  </si>
  <si>
    <t>Plant Name</t>
  </si>
  <si>
    <t>Commercial</t>
  </si>
  <si>
    <t>Businesses and small enterprises that require electricity to power operations, including office equipment, lighting, and HVAC systems.</t>
  </si>
  <si>
    <t>Plant Type</t>
  </si>
  <si>
    <t>Industrial</t>
  </si>
  <si>
    <t>Large-scale manufacturers and factories that consume high levels of energy to operate machinery, production lines, and other industrial processes.</t>
  </si>
  <si>
    <t>PPA Price ($/MWh)</t>
  </si>
  <si>
    <t>Price Regime</t>
  </si>
  <si>
    <t>Share of Generation</t>
  </si>
  <si>
    <t>Straight-line depreciation</t>
  </si>
  <si>
    <t>Tariff</t>
  </si>
  <si>
    <t>MinCapacity</t>
  </si>
  <si>
    <t xml:space="preserve">This parameter relates to </t>
  </si>
  <si>
    <t>Variable Cost</t>
  </si>
  <si>
    <t>The parameter variable cost refers to the expenses that change in direct proportion to the level of energy production or consumption, such as fuel or operational costs, typically expressed in millions of USD.</t>
  </si>
  <si>
    <t>Other</t>
  </si>
  <si>
    <t>Variable</t>
  </si>
  <si>
    <t>Technology</t>
  </si>
  <si>
    <t>Value</t>
  </si>
  <si>
    <t>DiscountRate</t>
  </si>
  <si>
    <t>CoalCapex $/kW</t>
  </si>
  <si>
    <t>Plant Data</t>
  </si>
  <si>
    <t>Variable Cost ($/MWh)</t>
  </si>
  <si>
    <t>Fixed Cost ($/MWh)</t>
  </si>
  <si>
    <t>PPA</t>
  </si>
  <si>
    <t>Scenario</t>
  </si>
  <si>
    <t>Market Price</t>
  </si>
  <si>
    <t>Concerned this was not previously temporally accurate</t>
  </si>
  <si>
    <t>Public Utility</t>
  </si>
  <si>
    <t>Generation Constraint (TWh)</t>
  </si>
  <si>
    <t>Price distribution (multiple of average price in Price_Gen over the years A3-K24 in different time blocks and % of time in each time block in column O)</t>
  </si>
  <si>
    <t>Peak1</t>
  </si>
  <si>
    <t>Peak2</t>
  </si>
  <si>
    <t>Peak3</t>
  </si>
  <si>
    <t>Shouder1</t>
  </si>
  <si>
    <t>Shouder2</t>
  </si>
  <si>
    <t>Shouder3</t>
  </si>
  <si>
    <t>Shouder4</t>
  </si>
  <si>
    <t>Shouder5</t>
  </si>
  <si>
    <t>Offpeak1</t>
  </si>
  <si>
    <t>Offpeak2</t>
  </si>
  <si>
    <t>PercentTime</t>
  </si>
  <si>
    <t xml:space="preserve"> </t>
  </si>
  <si>
    <t>ANDA</t>
  </si>
  <si>
    <t>APEC</t>
  </si>
  <si>
    <t>CALACA U1</t>
  </si>
  <si>
    <t>CALACA U2</t>
  </si>
  <si>
    <t>MARIVELES U1</t>
  </si>
  <si>
    <t>MARIVELES U2</t>
  </si>
  <si>
    <t>MASINLOC U1</t>
  </si>
  <si>
    <t>MASINLOC U2</t>
  </si>
  <si>
    <t>PAGBILAO U1</t>
  </si>
  <si>
    <t>PAGBILAO U2</t>
  </si>
  <si>
    <t>PAGBILAO U3</t>
  </si>
  <si>
    <t>QUEZON POWER</t>
  </si>
  <si>
    <t>SBPL</t>
  </si>
  <si>
    <t>SCPC U1 (SMC LIMAY U1)</t>
  </si>
  <si>
    <t>SCPC U2 (SMC LIMAY U2)</t>
  </si>
  <si>
    <t>SCPC U3 (SMC LIMAY U3)</t>
  </si>
  <si>
    <t>SCPC U4 (SMC LIMAY U4)</t>
  </si>
  <si>
    <t>SLPGC U1</t>
  </si>
  <si>
    <t>SLPGC U2</t>
  </si>
  <si>
    <t>SLTEC PUTING BATO U1</t>
  </si>
  <si>
    <t>SLTEC PUTING BATO U2</t>
  </si>
  <si>
    <t>SUAL U1</t>
  </si>
  <si>
    <t>SUAL U2</t>
  </si>
  <si>
    <t>UPPC</t>
  </si>
  <si>
    <t>PETRON RSFFB</t>
  </si>
  <si>
    <t>CEDC U1</t>
  </si>
  <si>
    <t>CEDC U2</t>
  </si>
  <si>
    <t>CEDC U3</t>
  </si>
  <si>
    <t>KSPC U1</t>
  </si>
  <si>
    <t>KSPC U2</t>
  </si>
  <si>
    <t>PEDC U1</t>
  </si>
  <si>
    <t>PEDC U2</t>
  </si>
  <si>
    <t>PEDC U3</t>
  </si>
  <si>
    <t>PCPC U1</t>
  </si>
  <si>
    <t>TPC TG4 (Sangi Station)</t>
  </si>
  <si>
    <t>TPC TG5 (Sangi Station)</t>
  </si>
  <si>
    <t>TPC 1A Expansion</t>
  </si>
  <si>
    <t>TVI U1</t>
  </si>
  <si>
    <t>TVI U2</t>
  </si>
  <si>
    <t>FDC MISAMIS U1</t>
  </si>
  <si>
    <t>FDC MISAMIS U2</t>
  </si>
  <si>
    <t>FDC MISAMIS U3</t>
  </si>
  <si>
    <t>MINDANAO COAL U1</t>
  </si>
  <si>
    <t>MINDANAO COAL U2</t>
  </si>
  <si>
    <t>SMC MALITA U1</t>
  </si>
  <si>
    <t>SMC MALITA U2</t>
  </si>
  <si>
    <t>THERMA SOUTH U1</t>
  </si>
  <si>
    <t>THERMA SOUTH U2</t>
  </si>
  <si>
    <t>GNPOWER KAUSAWAGAN U1</t>
  </si>
  <si>
    <t>GNPOWER KAUSAWAGAN U2</t>
  </si>
  <si>
    <t>GNPOWER KAUSAWAGAN U3</t>
  </si>
  <si>
    <t>GNPOWER KAUSAWAGAN U4</t>
  </si>
  <si>
    <t>MPC Balingasag Power Station U1</t>
  </si>
  <si>
    <t>MPC Balingasag Power Station U2</t>
  </si>
  <si>
    <t>MPC Balingasag Power Station U3</t>
  </si>
  <si>
    <t>SEC U1</t>
  </si>
  <si>
    <t>SEC U2</t>
  </si>
  <si>
    <t>PSPE</t>
  </si>
  <si>
    <t>AD_20</t>
  </si>
  <si>
    <t>AD_40</t>
  </si>
  <si>
    <t>AD_60</t>
  </si>
  <si>
    <t>AD_80</t>
  </si>
  <si>
    <t>ContractPriceMW</t>
  </si>
  <si>
    <t>ANDAasd1</t>
  </si>
  <si>
    <t>ANDAasd2</t>
  </si>
  <si>
    <t>ANDAasd3</t>
  </si>
  <si>
    <t>ANDAasd4</t>
  </si>
  <si>
    <t>ANDAasd5</t>
  </si>
  <si>
    <t>ANDAasd6</t>
  </si>
  <si>
    <t>ANDAasd7</t>
  </si>
  <si>
    <t>ANDAasd8</t>
  </si>
  <si>
    <t>ANDAasd9</t>
  </si>
  <si>
    <t>ANDAasd10</t>
  </si>
  <si>
    <t>ANDAasd11</t>
  </si>
  <si>
    <t>ANDAasd12</t>
  </si>
  <si>
    <t>ANDAasd13</t>
  </si>
  <si>
    <t>ANDAasd14</t>
  </si>
  <si>
    <t>ANDAasd15</t>
  </si>
  <si>
    <t>ANDAasd16</t>
  </si>
  <si>
    <t>ANDAasd17</t>
  </si>
  <si>
    <t>ANDAasd18</t>
  </si>
  <si>
    <t>ANDAasd19</t>
  </si>
  <si>
    <t>ANDAasd20</t>
  </si>
  <si>
    <t>ANDAasd21</t>
  </si>
  <si>
    <t>ANDAasd22</t>
  </si>
  <si>
    <t>ANDAasd23</t>
  </si>
  <si>
    <t>ANDAasd24</t>
  </si>
  <si>
    <t>ANDAasd25</t>
  </si>
  <si>
    <t>ANDAasd26</t>
  </si>
  <si>
    <t>ANDAasd27</t>
  </si>
  <si>
    <t>ANDAasd28</t>
  </si>
  <si>
    <t>ANDAasd29</t>
  </si>
  <si>
    <t>ANDAasd30</t>
  </si>
  <si>
    <t>ANDAasd31</t>
  </si>
  <si>
    <t>ANDAasd32</t>
  </si>
  <si>
    <t>ANDAasd33</t>
  </si>
  <si>
    <t>ANDAasd34</t>
  </si>
  <si>
    <t>ANDAasd35</t>
  </si>
  <si>
    <t>ANDAasd36</t>
  </si>
  <si>
    <t>ANDAasd37</t>
  </si>
  <si>
    <t>ANDAasd38</t>
  </si>
  <si>
    <t>ANDAasd39</t>
  </si>
  <si>
    <t>ANDAasd40</t>
  </si>
  <si>
    <t>ANDAasd41</t>
  </si>
  <si>
    <t>ANDAasd42</t>
  </si>
  <si>
    <t>ANDAasd43</t>
  </si>
  <si>
    <t>ANDAasd44</t>
  </si>
  <si>
    <t>ANDAasd45</t>
  </si>
  <si>
    <t>ANDAasd46</t>
  </si>
  <si>
    <t>ANDAasd47</t>
  </si>
  <si>
    <t>ANDAasd48</t>
  </si>
  <si>
    <t>ANDAasd49</t>
  </si>
  <si>
    <t>ANDAasd50</t>
  </si>
  <si>
    <t>ANDAasd51</t>
  </si>
  <si>
    <t>ANDAasd52</t>
  </si>
  <si>
    <t>ANDAasd53</t>
  </si>
  <si>
    <t>ANDAasd54</t>
  </si>
  <si>
    <t>ANDAasd55</t>
  </si>
  <si>
    <t>ANDAasd56</t>
  </si>
  <si>
    <t>ANDAasd57</t>
  </si>
  <si>
    <t>ANDAasd58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</si>
</sst>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7">
    <numFmt numFmtId="43" formatCode="_(* #,##0.00_);_(* \(#,##0.00\);_(* &quot;-&quot;??_);_(@_)"/>
    <numFmt numFmtId="164" formatCode="0.0%"/>
    <numFmt numFmtId="165" formatCode="_ * #,##0_ ;_ * \-#,##0_ ;_ * &quot;-&quot;??_ ;_ @_ "/>
    <numFmt numFmtId="166" formatCode="[$$-409]#,##0.00"/>
    <numFmt numFmtId="167" formatCode="yyyy"/>
    <numFmt numFmtId="168" formatCode="_-* #,##0.00_-;\-* #,##0.00_-;_-* &quot;-&quot;??_-;_-@_-"/>
    <numFmt numFmtId="169" formatCode="0.0"/>
  </numFmts>
  <fonts count="31">
    <font>
      <sz val="11"/>
      <color theme="1"/>
      <name val="Calibri"/>
      <family val="2"/>
      <scheme val="minor"/>
    </font>
    <font>
      <sz val="12"/>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sz val="8"/>
      <name val="Calibri"/>
      <family val="2"/>
      <scheme val="minor"/>
    </font>
    <font>
      <sz val="11"/>
      <color theme="1"/>
      <name val="Calibri"/>
      <family val="2"/>
    </font>
    <font>
      <b/>
      <sz val="11"/>
      <color theme="1"/>
      <name val="Calibri"/>
      <family val="2"/>
    </font>
    <font>
      <b/>
      <sz val="36"/>
      <color theme="0"/>
      <name val="Aptos Narrow"/>
      <family val="2"/>
    </font>
    <font>
      <b/>
      <sz val="72"/>
      <color theme="0"/>
      <name val="Aptos Narrow"/>
      <family val="2"/>
    </font>
    <font>
      <sz val="22"/>
      <color theme="0"/>
      <name val="Calibri"/>
      <family val="2"/>
      <scheme val="minor"/>
    </font>
    <font>
      <b/>
      <sz val="24"/>
      <color theme="0"/>
      <name val="Aptos Narrow"/>
      <family val="2"/>
    </font>
    <font>
      <sz val="12"/>
      <color theme="0"/>
      <name val="Aptos Narrow"/>
      <family val="2"/>
    </font>
    <font>
      <sz val="12"/>
      <color theme="1"/>
      <name val="Aptos Narrow"/>
      <family val="2"/>
    </font>
    <font>
      <b/>
      <sz val="22"/>
      <color theme="0"/>
      <name val="Aptos Narrow"/>
      <family val="2"/>
    </font>
    <font>
      <sz val="22"/>
      <color theme="1"/>
      <name val="Aptos Narrow"/>
      <family val="2"/>
    </font>
    <font>
      <sz val="14"/>
      <color theme="1"/>
      <name val="Aptos Narrow"/>
      <family val="2"/>
    </font>
    <font>
      <b/>
      <sz val="15"/>
      <color theme="0"/>
      <name val="Aptos Narrow"/>
      <family val="2"/>
    </font>
    <font>
      <sz val="16"/>
      <color theme="1"/>
      <name val="Aptos Narrow"/>
      <family val="2"/>
    </font>
    <font>
      <b/>
      <sz val="15"/>
      <color rgb="FF000000"/>
      <name val="Aptos Narrow"/>
      <family val="2"/>
    </font>
    <font>
      <b/>
      <i/>
      <sz val="14"/>
      <name val="Aptos Narrow"/>
      <family val="2"/>
    </font>
    <font>
      <b/>
      <i/>
      <sz val="14"/>
      <color theme="1"/>
      <name val="Aptos Narrow"/>
      <family val="2"/>
    </font>
    <font>
      <sz val="12"/>
      <name val="Aptos Narrow"/>
      <family val="2"/>
    </font>
    <font>
      <sz val="11"/>
      <color rgb="FF000000"/>
      <name val="Aptos Narrow"/>
      <family val="2"/>
    </font>
    <font>
      <b/>
      <sz val="16"/>
      <color theme="1"/>
      <name val="Aptos Narrow"/>
    </font>
    <font>
      <b/>
      <sz val="20"/>
      <color theme="0"/>
      <name val="Calibri"/>
      <family val="2"/>
      <scheme val="minor"/>
    </font>
    <font>
      <sz val="11"/>
      <color rgb="FF0070C0"/>
      <name val="Calibri"/>
      <family val="2"/>
      <scheme val="minor"/>
    </font>
    <font>
      <b/>
      <sz val="12"/>
      <color theme="0"/>
      <name val="Aptos Narrow"/>
    </font>
    <font>
      <b/>
      <sz val="11"/>
      <color theme="0"/>
      <name val="Calibri"/>
      <family val="2"/>
      <scheme val="minor"/>
    </font>
    <font>
      <sz val="11"/>
      <color rgb="FFC00000"/>
      <name val="Calibri"/>
      <family val="2"/>
      <scheme val="minor"/>
    </font>
    <font>
      <sz val="11"/>
      <color rgb="FF000000"/>
      <name val="等线"/>
      <family val="4"/>
      <charset val="134"/>
    </font>
  </fonts>
  <fills count="11">
    <fill>
      <patternFill patternType="none"/>
    </fill>
    <fill>
      <patternFill patternType="gray125"/>
    </fill>
    <fill>
      <patternFill patternType="solid">
        <fgColor theme="0" tint="-4.9989318521683403E-2"/>
        <bgColor indexed="64"/>
      </patternFill>
    </fill>
    <fill>
      <patternFill patternType="solid">
        <fgColor rgb="FFF2F2F2"/>
        <bgColor rgb="FF000000"/>
      </patternFill>
    </fill>
    <fill>
      <patternFill patternType="solid">
        <fgColor theme="1"/>
        <bgColor indexed="64"/>
      </patternFill>
    </fill>
    <fill>
      <patternFill patternType="solid">
        <fgColor theme="2"/>
        <bgColor indexed="64"/>
      </patternFill>
    </fill>
    <fill>
      <patternFill patternType="solid">
        <fgColor rgb="FF002060"/>
        <bgColor indexed="64"/>
      </patternFill>
    </fill>
    <fill>
      <patternFill patternType="solid">
        <fgColor rgb="FF002060"/>
        <bgColor rgb="FF000000"/>
      </patternFill>
    </fill>
    <fill>
      <patternFill patternType="solid">
        <fgColor rgb="FFFFFFFF"/>
        <bgColor rgb="FF000000"/>
      </patternFill>
    </fill>
    <fill>
      <patternFill patternType="solid">
        <fgColor theme="7" tint="0.79998168889431442"/>
        <bgColor indexed="64"/>
      </patternFill>
    </fill>
    <fill>
      <patternFill patternType="solid">
        <fgColor rgb="FFFFFF00"/>
        <bgColor indexed="64"/>
      </patternFill>
    </fill>
  </fills>
  <borders count="14">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left/>
      <right/>
      <top style="medium">
        <color indexed="64"/>
      </top>
      <bottom/>
      <diagonal/>
    </border>
    <border>
      <left/>
      <right style="medium">
        <color indexed="64"/>
      </right>
      <top/>
      <bottom/>
      <diagonal/>
    </border>
    <border>
      <left style="medium">
        <color indexed="64"/>
      </left>
      <right/>
      <top/>
      <bottom/>
      <diagonal/>
    </border>
    <border>
      <left/>
      <right style="medium">
        <color indexed="64"/>
      </right>
      <top/>
      <bottom style="medium">
        <color indexed="64"/>
      </bottom>
      <diagonal/>
    </border>
    <border>
      <left style="medium">
        <color indexed="64"/>
      </left>
      <right/>
      <top/>
      <bottom style="medium">
        <color indexed="64"/>
      </bottom>
      <diagonal/>
    </border>
    <border>
      <left/>
      <right/>
      <top/>
      <bottom style="medium">
        <color indexed="64"/>
      </bottom>
      <diagonal/>
    </border>
    <border>
      <left style="medium">
        <color indexed="64"/>
      </left>
      <right/>
      <top style="thin">
        <color indexed="64"/>
      </top>
      <bottom/>
      <diagonal/>
    </border>
  </borders>
  <cellStyleXfs count="4">
    <xf numFmtId="0" fontId="0" fillId="0" borderId="0"/>
    <xf numFmtId="43" fontId="2" fillId="0" borderId="0" applyFont="0" applyFill="0" applyBorder="0" applyAlignment="0" applyProtection="0"/>
    <xf numFmtId="9" fontId="2" fillId="0" borderId="0" applyFont="0" applyFill="0" applyBorder="0" applyAlignment="0" applyProtection="0"/>
    <xf numFmtId="168" fontId="2" fillId="0" borderId="0" applyFont="0" applyFill="0" applyBorder="0" applyAlignment="0" applyProtection="0"/>
  </cellStyleXfs>
  <cellXfs count="106">
    <xf numFmtId="0" fontId="0" fillId="0" borderId="0" xfId="0"/>
    <xf numFmtId="0" fontId="0" fillId="0" borderId="1" xfId="0" applyBorder="1"/>
    <xf numFmtId="0" fontId="0" fillId="5" borderId="1" xfId="0" applyFill="1" applyBorder="1"/>
    <xf numFmtId="0" fontId="0" fillId="0" borderId="0" xfId="0" applyAlignment="1">
      <alignment horizontal="right"/>
    </xf>
    <xf numFmtId="2" fontId="0" fillId="5" borderId="0" xfId="0" applyNumberFormat="1" applyFill="1"/>
    <xf numFmtId="9" fontId="0" fillId="5" borderId="1" xfId="2" applyFont="1" applyFill="1" applyBorder="1"/>
    <xf numFmtId="0" fontId="0" fillId="6" borderId="0" xfId="0" applyFill="1"/>
    <xf numFmtId="0" fontId="8" fillId="6" borderId="0" xfId="0" applyFont="1" applyFill="1" applyAlignment="1">
      <alignment vertical="center"/>
    </xf>
    <xf numFmtId="0" fontId="9" fillId="6" borderId="0" xfId="0" applyFont="1" applyFill="1" applyAlignment="1">
      <alignment vertical="center"/>
    </xf>
    <xf numFmtId="0" fontId="10" fillId="6" borderId="0" xfId="0" applyFont="1" applyFill="1"/>
    <xf numFmtId="0" fontId="11" fillId="6" borderId="0" xfId="0" applyFont="1" applyFill="1" applyAlignment="1">
      <alignment vertical="center"/>
    </xf>
    <xf numFmtId="0" fontId="12" fillId="6" borderId="0" xfId="0" applyFont="1" applyFill="1"/>
    <xf numFmtId="0" fontId="13" fillId="6" borderId="0" xfId="0" applyFont="1" applyFill="1"/>
    <xf numFmtId="0" fontId="13" fillId="0" borderId="0" xfId="0" applyFont="1"/>
    <xf numFmtId="0" fontId="14" fillId="7" borderId="0" xfId="0" applyFont="1" applyFill="1" applyAlignment="1">
      <alignment horizontal="left" vertical="top"/>
    </xf>
    <xf numFmtId="0" fontId="16" fillId="0" borderId="0" xfId="0" applyFont="1" applyAlignment="1">
      <alignment vertical="center" wrapText="1"/>
    </xf>
    <xf numFmtId="0" fontId="17" fillId="7" borderId="5" xfId="0" applyFont="1" applyFill="1" applyBorder="1" applyAlignment="1">
      <alignment horizontal="left" vertical="top"/>
    </xf>
    <xf numFmtId="0" fontId="12" fillId="6" borderId="6" xfId="0" applyFont="1" applyFill="1" applyBorder="1"/>
    <xf numFmtId="0" fontId="12" fillId="6" borderId="8" xfId="0" applyFont="1" applyFill="1" applyBorder="1"/>
    <xf numFmtId="0" fontId="12" fillId="6" borderId="10" xfId="0" applyFont="1" applyFill="1" applyBorder="1"/>
    <xf numFmtId="0" fontId="19" fillId="8" borderId="0" xfId="0" applyFont="1" applyFill="1" applyAlignment="1">
      <alignment horizontal="left" vertical="top"/>
    </xf>
    <xf numFmtId="0" fontId="12" fillId="0" borderId="0" xfId="0" applyFont="1"/>
    <xf numFmtId="0" fontId="20" fillId="0" borderId="9" xfId="0" applyFont="1" applyBorder="1"/>
    <xf numFmtId="0" fontId="20" fillId="0" borderId="8" xfId="0" applyFont="1" applyBorder="1"/>
    <xf numFmtId="0" fontId="21" fillId="0" borderId="9" xfId="0" applyFont="1" applyBorder="1"/>
    <xf numFmtId="0" fontId="13" fillId="0" borderId="8" xfId="0" applyFont="1" applyBorder="1"/>
    <xf numFmtId="0" fontId="13" fillId="9" borderId="9" xfId="0" applyFont="1" applyFill="1" applyBorder="1"/>
    <xf numFmtId="0" fontId="13" fillId="9" borderId="9" xfId="0" applyFont="1" applyFill="1" applyBorder="1" applyAlignment="1">
      <alignment horizontal="left" vertical="center"/>
    </xf>
    <xf numFmtId="0" fontId="22" fillId="9" borderId="8" xfId="0" applyFont="1" applyFill="1" applyBorder="1" applyAlignment="1">
      <alignment horizontal="left" vertical="center"/>
    </xf>
    <xf numFmtId="0" fontId="13" fillId="9" borderId="11" xfId="0" applyFont="1" applyFill="1" applyBorder="1"/>
    <xf numFmtId="0" fontId="13" fillId="0" borderId="9" xfId="0" applyFont="1" applyBorder="1"/>
    <xf numFmtId="0" fontId="13" fillId="0" borderId="10" xfId="0" applyFont="1" applyBorder="1"/>
    <xf numFmtId="0" fontId="13" fillId="0" borderId="11" xfId="0" applyFont="1" applyBorder="1"/>
    <xf numFmtId="0" fontId="13" fillId="9" borderId="11" xfId="0" applyFont="1" applyFill="1" applyBorder="1" applyAlignment="1">
      <alignment horizontal="left" vertical="center"/>
    </xf>
    <xf numFmtId="0" fontId="22" fillId="9" borderId="10" xfId="0" applyFont="1" applyFill="1" applyBorder="1" applyAlignment="1">
      <alignment horizontal="left" vertical="center"/>
    </xf>
    <xf numFmtId="0" fontId="23" fillId="0" borderId="0" xfId="0" applyFont="1"/>
    <xf numFmtId="0" fontId="17" fillId="0" borderId="0" xfId="0" applyFont="1" applyAlignment="1">
      <alignment vertical="top"/>
    </xf>
    <xf numFmtId="0" fontId="17" fillId="7" borderId="9" xfId="0" applyFont="1" applyFill="1" applyBorder="1" applyAlignment="1">
      <alignment horizontal="left" vertical="top"/>
    </xf>
    <xf numFmtId="0" fontId="17" fillId="7" borderId="11" xfId="0" applyFont="1" applyFill="1" applyBorder="1" applyAlignment="1">
      <alignment horizontal="left" vertical="top"/>
    </xf>
    <xf numFmtId="0" fontId="0" fillId="0" borderId="0" xfId="0" applyAlignment="1">
      <alignment horizontal="left"/>
    </xf>
    <xf numFmtId="0" fontId="4" fillId="0" borderId="0" xfId="0" applyFont="1" applyAlignment="1">
      <alignment horizontal="left"/>
    </xf>
    <xf numFmtId="0" fontId="8" fillId="6" borderId="0" xfId="0" applyFont="1" applyFill="1" applyAlignment="1">
      <alignment horizontal="left"/>
    </xf>
    <xf numFmtId="0" fontId="25" fillId="6" borderId="0" xfId="0" applyFont="1" applyFill="1" applyAlignment="1">
      <alignment vertical="center"/>
    </xf>
    <xf numFmtId="0" fontId="25" fillId="6" borderId="0" xfId="0" applyFont="1" applyFill="1"/>
    <xf numFmtId="0" fontId="3" fillId="2" borderId="0" xfId="0" applyFont="1" applyFill="1"/>
    <xf numFmtId="0" fontId="7" fillId="3" borderId="0" xfId="0" applyFont="1" applyFill="1"/>
    <xf numFmtId="0" fontId="7" fillId="2" borderId="0" xfId="0" applyFont="1" applyFill="1" applyAlignment="1">
      <alignment horizontal="center"/>
    </xf>
    <xf numFmtId="166" fontId="6" fillId="0" borderId="0" xfId="0" applyNumberFormat="1" applyFont="1" applyAlignment="1">
      <alignment horizontal="center"/>
    </xf>
    <xf numFmtId="0" fontId="0" fillId="0" borderId="12" xfId="0" applyBorder="1"/>
    <xf numFmtId="166" fontId="6" fillId="0" borderId="12" xfId="0" applyNumberFormat="1" applyFont="1" applyBorder="1" applyAlignment="1">
      <alignment horizontal="center"/>
    </xf>
    <xf numFmtId="0" fontId="0" fillId="0" borderId="0" xfId="0" applyAlignment="1">
      <alignment wrapText="1"/>
    </xf>
    <xf numFmtId="0" fontId="0" fillId="0" borderId="12" xfId="0" applyBorder="1" applyAlignment="1">
      <alignment wrapText="1"/>
    </xf>
    <xf numFmtId="0" fontId="3" fillId="2" borderId="0" xfId="0" applyFont="1" applyFill="1" applyAlignment="1">
      <alignment wrapText="1"/>
    </xf>
    <xf numFmtId="0" fontId="21" fillId="0" borderId="8" xfId="0" applyFont="1" applyBorder="1"/>
    <xf numFmtId="9" fontId="26" fillId="0" borderId="0" xfId="0" applyNumberFormat="1" applyFont="1"/>
    <xf numFmtId="0" fontId="27" fillId="6" borderId="5" xfId="0" applyFont="1" applyFill="1" applyBorder="1"/>
    <xf numFmtId="0" fontId="27" fillId="6" borderId="11" xfId="0" applyFont="1" applyFill="1" applyBorder="1"/>
    <xf numFmtId="164" fontId="26" fillId="0" borderId="0" xfId="2" applyNumberFormat="1" applyFont="1" applyFill="1" applyBorder="1"/>
    <xf numFmtId="0" fontId="26" fillId="0" borderId="0" xfId="0" applyFont="1"/>
    <xf numFmtId="43" fontId="26" fillId="0" borderId="0" xfId="1" applyFont="1" applyFill="1" applyBorder="1"/>
    <xf numFmtId="9" fontId="26" fillId="0" borderId="0" xfId="0" applyNumberFormat="1" applyFont="1" applyAlignment="1">
      <alignment horizontal="right"/>
    </xf>
    <xf numFmtId="0" fontId="26" fillId="0" borderId="0" xfId="0" applyFont="1" applyAlignment="1">
      <alignment horizontal="right"/>
    </xf>
    <xf numFmtId="0" fontId="3" fillId="2" borderId="0" xfId="0" applyFont="1" applyFill="1" applyAlignment="1">
      <alignment horizontal="right"/>
    </xf>
    <xf numFmtId="167" fontId="2" fillId="9" borderId="6" xfId="0" applyNumberFormat="1" applyFont="1" applyFill="1" applyBorder="1" applyAlignment="1">
      <alignment horizontal="right" vertical="center"/>
    </xf>
    <xf numFmtId="167" fontId="2" fillId="9" borderId="10" xfId="0" applyNumberFormat="1" applyFont="1" applyFill="1" applyBorder="1" applyAlignment="1">
      <alignment horizontal="right" vertical="center"/>
    </xf>
    <xf numFmtId="167" fontId="28" fillId="4" borderId="0" xfId="0" applyNumberFormat="1" applyFont="1" applyFill="1" applyAlignment="1">
      <alignment horizontal="left" wrapText="1"/>
    </xf>
    <xf numFmtId="0" fontId="26" fillId="0" borderId="12" xfId="0" applyFont="1" applyBorder="1"/>
    <xf numFmtId="0" fontId="29" fillId="0" borderId="0" xfId="0" applyFont="1"/>
    <xf numFmtId="0" fontId="1" fillId="0" borderId="9" xfId="0" applyFont="1" applyBorder="1" applyAlignment="1">
      <alignment horizontal="left"/>
    </xf>
    <xf numFmtId="0" fontId="1" fillId="0" borderId="8" xfId="0" applyFont="1" applyBorder="1" applyAlignment="1">
      <alignment vertical="center"/>
    </xf>
    <xf numFmtId="0" fontId="0" fillId="0" borderId="9" xfId="0" applyBorder="1"/>
    <xf numFmtId="0" fontId="1" fillId="0" borderId="8" xfId="0" applyFont="1" applyBorder="1"/>
    <xf numFmtId="0" fontId="1" fillId="0" borderId="8" xfId="0" applyFont="1" applyBorder="1" applyAlignment="1">
      <alignment horizontal="left" vertical="center"/>
    </xf>
    <xf numFmtId="0" fontId="13" fillId="0" borderId="9" xfId="0" applyFont="1" applyBorder="1" applyAlignment="1">
      <alignment horizontal="left"/>
    </xf>
    <xf numFmtId="0" fontId="0" fillId="10" borderId="0" xfId="0" applyFill="1"/>
    <xf numFmtId="0" fontId="18" fillId="2" borderId="5" xfId="0" applyFont="1" applyFill="1" applyBorder="1" applyAlignment="1">
      <alignment horizontal="center" vertical="center" wrapText="1"/>
    </xf>
    <xf numFmtId="0" fontId="18" fillId="2" borderId="7" xfId="0" applyFont="1" applyFill="1" applyBorder="1" applyAlignment="1">
      <alignment horizontal="center" vertical="center" wrapText="1"/>
    </xf>
    <xf numFmtId="0" fontId="18" fillId="2" borderId="6" xfId="0" applyFont="1" applyFill="1" applyBorder="1" applyAlignment="1">
      <alignment horizontal="center" vertical="center" wrapText="1"/>
    </xf>
    <xf numFmtId="0" fontId="18" fillId="2" borderId="9" xfId="0" applyFont="1" applyFill="1" applyBorder="1" applyAlignment="1">
      <alignment horizontal="center" vertical="center" wrapText="1"/>
    </xf>
    <xf numFmtId="0" fontId="18" fillId="2" borderId="0" xfId="0" applyFont="1" applyFill="1" applyAlignment="1">
      <alignment horizontal="center" vertical="center" wrapText="1"/>
    </xf>
    <xf numFmtId="0" fontId="18" fillId="2" borderId="8" xfId="0" applyFont="1" applyFill="1" applyBorder="1" applyAlignment="1">
      <alignment horizontal="center" vertical="center" wrapText="1"/>
    </xf>
    <xf numFmtId="0" fontId="18" fillId="2" borderId="11" xfId="0" applyFont="1" applyFill="1" applyBorder="1" applyAlignment="1">
      <alignment horizontal="center" vertical="center" wrapText="1"/>
    </xf>
    <xf numFmtId="0" fontId="18" fillId="2" borderId="12" xfId="0" applyFont="1" applyFill="1" applyBorder="1" applyAlignment="1">
      <alignment horizontal="center" vertical="center" wrapText="1"/>
    </xf>
    <xf numFmtId="0" fontId="18" fillId="2" borderId="10" xfId="0" applyFont="1" applyFill="1" applyBorder="1" applyAlignment="1">
      <alignment horizontal="center" vertical="center" wrapText="1"/>
    </xf>
    <xf numFmtId="0" fontId="15" fillId="2" borderId="2" xfId="0" applyFont="1" applyFill="1" applyBorder="1" applyAlignment="1">
      <alignment horizontal="center" vertical="center" wrapText="1"/>
    </xf>
    <xf numFmtId="0" fontId="15" fillId="2" borderId="3" xfId="0" applyFont="1" applyFill="1" applyBorder="1" applyAlignment="1">
      <alignment horizontal="center" vertical="center" wrapText="1"/>
    </xf>
    <xf numFmtId="0" fontId="15" fillId="2" borderId="4" xfId="0" applyFont="1" applyFill="1" applyBorder="1" applyAlignment="1">
      <alignment horizontal="center" vertical="center" wrapText="1"/>
    </xf>
    <xf numFmtId="0" fontId="17" fillId="6" borderId="5" xfId="0" applyFont="1" applyFill="1" applyBorder="1" applyAlignment="1">
      <alignment horizontal="center" vertical="center"/>
    </xf>
    <xf numFmtId="0" fontId="17" fillId="6" borderId="6" xfId="0" applyFont="1" applyFill="1" applyBorder="1" applyAlignment="1">
      <alignment horizontal="center" vertical="center"/>
    </xf>
    <xf numFmtId="0" fontId="17" fillId="7" borderId="5" xfId="0" applyFont="1" applyFill="1" applyBorder="1" applyAlignment="1">
      <alignment horizontal="center" vertical="top"/>
    </xf>
    <xf numFmtId="0" fontId="17" fillId="7" borderId="6" xfId="0" applyFont="1" applyFill="1" applyBorder="1" applyAlignment="1">
      <alignment horizontal="center" vertical="top"/>
    </xf>
    <xf numFmtId="0" fontId="24" fillId="2" borderId="5" xfId="0" applyFont="1" applyFill="1" applyBorder="1" applyAlignment="1">
      <alignment horizontal="left" vertical="center" wrapText="1"/>
    </xf>
    <xf numFmtId="0" fontId="24" fillId="2" borderId="7" xfId="0" applyFont="1" applyFill="1" applyBorder="1" applyAlignment="1">
      <alignment horizontal="left" vertical="center" wrapText="1"/>
    </xf>
    <xf numFmtId="0" fontId="24" fillId="2" borderId="6" xfId="0" applyFont="1" applyFill="1" applyBorder="1" applyAlignment="1">
      <alignment horizontal="left" vertical="center" wrapText="1"/>
    </xf>
    <xf numFmtId="0" fontId="24" fillId="2" borderId="9" xfId="0" applyFont="1" applyFill="1" applyBorder="1" applyAlignment="1">
      <alignment horizontal="left" vertical="center" wrapText="1"/>
    </xf>
    <xf numFmtId="0" fontId="24" fillId="2" borderId="0" xfId="0" applyFont="1" applyFill="1" applyAlignment="1">
      <alignment horizontal="left" vertical="center" wrapText="1"/>
    </xf>
    <xf numFmtId="0" fontId="24" fillId="2" borderId="8" xfId="0" applyFont="1" applyFill="1" applyBorder="1" applyAlignment="1">
      <alignment horizontal="left" vertical="center" wrapText="1"/>
    </xf>
    <xf numFmtId="0" fontId="24" fillId="2" borderId="11" xfId="0" applyFont="1" applyFill="1" applyBorder="1" applyAlignment="1">
      <alignment horizontal="left" vertical="center" wrapText="1"/>
    </xf>
    <xf numFmtId="0" fontId="24" fillId="2" borderId="12" xfId="0" applyFont="1" applyFill="1" applyBorder="1" applyAlignment="1">
      <alignment horizontal="left" vertical="center" wrapText="1"/>
    </xf>
    <xf numFmtId="0" fontId="24" fillId="2" borderId="10" xfId="0" applyFont="1" applyFill="1" applyBorder="1" applyAlignment="1">
      <alignment horizontal="left" vertical="center" wrapText="1"/>
    </xf>
    <xf numFmtId="168" fontId="6" fillId="0" borderId="0" xfId="0" applyNumberFormat="1" applyFont="1" applyAlignment="1">
      <alignment horizontal="center"/>
    </xf>
    <xf numFmtId="165" fontId="0" fillId="0" borderId="0" xfId="1" applyNumberFormat="1" applyFont="1"/>
    <xf numFmtId="0" fontId="0" fillId="0" borderId="13" xfId="0" applyBorder="1"/>
    <xf numFmtId="169" fontId="26" fillId="0" borderId="0" xfId="0" applyNumberFormat="1" applyFont="1"/>
    <xf numFmtId="0" fontId="30" fillId="0" borderId="0" xfId="0" applyFont="1"/>
    <xf numFmtId="167" fontId="0" fillId="0" borderId="1" xfId="0" applyNumberFormat="1" applyBorder="1"/>
  </cellXfs>
  <cellStyles count="4">
    <cellStyle name="Comma" xfId="1" builtinId="3"/>
    <cellStyle name="Normal" xfId="0" builtinId="0"/>
    <cellStyle name="Per cent" xfId="2" builtinId="5"/>
    <cellStyle name="千位分隔 2" xfId="3" xr:uid="{5ADF2AE6-91EA-7046-8591-AD241EBA9287}"/>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17/10/relationships/person" Target="persons/perso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image" Target="../media/image1.png"/><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8</xdr:col>
      <xdr:colOff>1241800</xdr:colOff>
      <xdr:row>0</xdr:row>
      <xdr:rowOff>0</xdr:rowOff>
    </xdr:from>
    <xdr:to>
      <xdr:col>10</xdr:col>
      <xdr:colOff>169648</xdr:colOff>
      <xdr:row>5</xdr:row>
      <xdr:rowOff>71211</xdr:rowOff>
    </xdr:to>
    <xdr:pic>
      <xdr:nvPicPr>
        <xdr:cNvPr id="5" name="Picture 4">
          <a:extLst>
            <a:ext uri="{FF2B5EF4-FFF2-40B4-BE49-F238E27FC236}">
              <a16:creationId xmlns:a16="http://schemas.microsoft.com/office/drawing/2014/main" id="{482034D7-E69D-834F-BA09-45B2D62E98A7}"/>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423754" y="0"/>
          <a:ext cx="2881708" cy="2596613"/>
        </a:xfrm>
        <a:prstGeom prst="rect">
          <a:avLst/>
        </a:prstGeom>
      </xdr:spPr>
    </xdr:pic>
    <xdr:clientData/>
  </xdr:twoCellAnchor>
  <xdr:twoCellAnchor editAs="oneCell">
    <xdr:from>
      <xdr:col>5</xdr:col>
      <xdr:colOff>609600</xdr:colOff>
      <xdr:row>0</xdr:row>
      <xdr:rowOff>137672</xdr:rowOff>
    </xdr:from>
    <xdr:to>
      <xdr:col>8</xdr:col>
      <xdr:colOff>1931548</xdr:colOff>
      <xdr:row>2</xdr:row>
      <xdr:rowOff>1010542</xdr:rowOff>
    </xdr:to>
    <xdr:pic>
      <xdr:nvPicPr>
        <xdr:cNvPr id="6" name="Picture 1">
          <a:extLst>
            <a:ext uri="{FF2B5EF4-FFF2-40B4-BE49-F238E27FC236}">
              <a16:creationId xmlns:a16="http://schemas.microsoft.com/office/drawing/2014/main" id="{8AC49718-8639-8A45-9D76-81989201C267}"/>
            </a:ext>
          </a:extLst>
        </xdr:cNvPr>
        <xdr:cNvPicPr>
          <a:picLocks noChangeAspect="1"/>
        </xdr:cNvPicPr>
      </xdr:nvPicPr>
      <xdr:blipFill rotWithShape="1">
        <a:blip xmlns:r="http://schemas.openxmlformats.org/officeDocument/2006/relationships" r:embed="rId2"/>
        <a:srcRect t="17890" b="17197"/>
        <a:stretch/>
      </xdr:blipFill>
      <xdr:spPr>
        <a:xfrm>
          <a:off x="6413500" y="137672"/>
          <a:ext cx="4702922" cy="1660270"/>
        </a:xfrm>
        <a:prstGeom prst="rect">
          <a:avLst/>
        </a:prstGeom>
      </xdr:spPr>
    </xdr:pic>
    <xdr:clientData/>
  </xdr:twoCellAnchor>
  <xdr:twoCellAnchor editAs="oneCell">
    <xdr:from>
      <xdr:col>5</xdr:col>
      <xdr:colOff>1314528</xdr:colOff>
      <xdr:row>2</xdr:row>
      <xdr:rowOff>1153740</xdr:rowOff>
    </xdr:from>
    <xdr:to>
      <xdr:col>8</xdr:col>
      <xdr:colOff>1575323</xdr:colOff>
      <xdr:row>3</xdr:row>
      <xdr:rowOff>345112</xdr:rowOff>
    </xdr:to>
    <xdr:pic>
      <xdr:nvPicPr>
        <xdr:cNvPr id="7" name="Picture 2">
          <a:extLst>
            <a:ext uri="{FF2B5EF4-FFF2-40B4-BE49-F238E27FC236}">
              <a16:creationId xmlns:a16="http://schemas.microsoft.com/office/drawing/2014/main" id="{9F1F0F13-33C4-F74A-8500-E5D87CD4AE99}"/>
            </a:ext>
          </a:extLst>
        </xdr:cNvPr>
        <xdr:cNvPicPr>
          <a:picLocks noChangeAspect="1"/>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7118428" y="1941140"/>
          <a:ext cx="3641769" cy="372472"/>
        </a:xfrm>
        <a:prstGeom prst="rect">
          <a:avLst/>
        </a:prstGeom>
      </xdr:spPr>
    </xdr:pic>
    <xdr:clientData/>
  </xdr:twoCellAnchor>
  <xdr:twoCellAnchor editAs="oneCell">
    <xdr:from>
      <xdr:col>6</xdr:col>
      <xdr:colOff>0</xdr:colOff>
      <xdr:row>16</xdr:row>
      <xdr:rowOff>54501</xdr:rowOff>
    </xdr:from>
    <xdr:to>
      <xdr:col>8</xdr:col>
      <xdr:colOff>2036302</xdr:colOff>
      <xdr:row>19</xdr:row>
      <xdr:rowOff>171675</xdr:rowOff>
    </xdr:to>
    <xdr:pic>
      <xdr:nvPicPr>
        <xdr:cNvPr id="11" name="Picture 10">
          <a:extLst>
            <a:ext uri="{FF2B5EF4-FFF2-40B4-BE49-F238E27FC236}">
              <a16:creationId xmlns:a16="http://schemas.microsoft.com/office/drawing/2014/main" id="{AC9BBBD3-726B-993E-3218-3B48F9C4B8E0}"/>
            </a:ext>
          </a:extLst>
        </xdr:cNvPr>
        <xdr:cNvPicPr>
          <a:picLocks noChangeAspect="1" noChangeArrowheads="1"/>
        </xdr:cNvPicPr>
      </xdr:nvPicPr>
      <xdr:blipFill>
        <a:blip xmlns:r="http://schemas.openxmlformats.org/officeDocument/2006/relationships" r:embed="rId4" cstate="print">
          <a:extLst>
            <a:ext uri="{28A0092B-C50C-407E-A947-70E740481C1C}">
              <a14:useLocalDpi xmlns:a14="http://schemas.microsoft.com/office/drawing/2010/main" val="0"/>
            </a:ext>
          </a:extLst>
        </a:blip>
        <a:srcRect/>
        <a:stretch>
          <a:fillRect/>
        </a:stretch>
      </xdr:blipFill>
      <xdr:spPr bwMode="auto">
        <a:xfrm>
          <a:off x="8022429" y="5667317"/>
          <a:ext cx="4079980" cy="81786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persons/person.xml><?xml version="1.0" encoding="utf-8"?>
<personList xmlns="http://schemas.microsoft.com/office/spreadsheetml/2018/threadedcomments" xmlns:x="http://schemas.openxmlformats.org/spreadsheetml/2006/main">
  <person displayName="Luscombe, Hannah M" id="{0F7A2550-7CC6-474A-BA4E-24BAF756F1FF}" userId="S::hl921@ic.ac.uk::973dae33-91e7-424d-b5e3-ff0030a07859" providerId="AD"/>
</personList>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B3" dT="2023-08-23T08:34:03.06" personId="{0F7A2550-7CC6-474A-BA4E-24BAF756F1FF}" id="{3BD7891D-DDFF-604C-8D68-29212CB35E69}">
    <text>Variable costs- operational, maintenance and fuel costs.
UNITS- ($/MWh)</text>
  </threadedComment>
  <threadedComment ref="C3" dT="2023-08-25T11:03:28.74" personId="{0F7A2550-7CC6-474A-BA4E-24BAF756F1FF}" id="{B8C6B05E-4CDC-904A-AD00-4725E3CBDF40}">
    <text>This is only used to calculate PPA cost, if you have PPA information you don’t need to complete this column. If you do not need to complete the column you need to delete a section of the GAMs code- go to line 59 and delete the “+ cost” at the end of the line
UNITS- ($/MW/year)</text>
  </threadedComment>
  <threadedComment ref="E3" dT="2023-08-02T10:38:13.20" personId="{0F7A2550-7CC6-474A-BA4E-24BAF756F1FF}" id="{1B8FC702-A51A-C64D-8E86-E948306660D3}">
    <text>Can use Dual Values from OSeMOSYS if this information isn’t available open source</text>
  </threadedComment>
  <threadedComment ref="F3" dT="2023-08-31T08:57:42.77" personId="{0F7A2550-7CC6-474A-BA4E-24BAF756F1FF}" id="{67F2F948-7F51-254D-88B2-641DDC23EB87}">
    <text>UNITS- MW</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microsoft.com/office/2017/10/relationships/threadedComment" Target="../threadedComments/threadedComment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9D364A-AD63-9D45-B16A-0B886628D02F}">
  <dimension ref="B1:Q46"/>
  <sheetViews>
    <sheetView showGridLines="0" topLeftCell="A2" zoomScale="75" workbookViewId="0">
      <selection activeCell="I33" sqref="I33"/>
    </sheetView>
  </sheetViews>
  <sheetFormatPr baseColWidth="10" defaultColWidth="10.83203125" defaultRowHeight="16"/>
  <cols>
    <col min="1" max="1" width="5.5" style="13" customWidth="1"/>
    <col min="2" max="2" width="24.83203125" style="13" customWidth="1"/>
    <col min="3" max="3" width="17.5" style="13" bestFit="1" customWidth="1"/>
    <col min="4" max="4" width="10.83203125" style="13"/>
    <col min="5" max="5" width="17.5" style="13" bestFit="1" customWidth="1"/>
    <col min="6" max="6" width="17.5" style="13" customWidth="1"/>
    <col min="7" max="7" width="10.83203125" style="13"/>
    <col min="8" max="8" width="16" style="13" bestFit="1" customWidth="1"/>
    <col min="9" max="9" width="37.5" style="13" bestFit="1" customWidth="1"/>
    <col min="10" max="10" width="14.6640625" style="13" bestFit="1" customWidth="1"/>
    <col min="11" max="12" width="14" style="13" customWidth="1"/>
    <col min="13" max="13" width="13.5" style="13" bestFit="1" customWidth="1"/>
    <col min="14" max="16384" width="10.83203125" style="13"/>
  </cols>
  <sheetData>
    <row r="1" spans="2:17" s="6" customFormat="1" ht="15"/>
    <row r="2" spans="2:17" s="6" customFormat="1" ht="47">
      <c r="B2" s="7"/>
    </row>
    <row r="3" spans="2:17" s="6" customFormat="1" ht="93">
      <c r="B3" s="8" t="s">
        <v>0</v>
      </c>
    </row>
    <row r="4" spans="2:17" s="6" customFormat="1" ht="29">
      <c r="B4" s="9" t="s">
        <v>1</v>
      </c>
    </row>
    <row r="5" spans="2:17" s="6" customFormat="1" ht="15"/>
    <row r="7" spans="2:17" ht="32">
      <c r="B7" s="10" t="s">
        <v>2</v>
      </c>
      <c r="C7" s="11"/>
      <c r="D7" s="12"/>
      <c r="E7" s="12"/>
      <c r="F7" s="12"/>
      <c r="G7" s="12"/>
      <c r="H7" s="12"/>
      <c r="I7" s="12"/>
    </row>
    <row r="8" spans="2:17" ht="17" thickBot="1"/>
    <row r="9" spans="2:17" ht="30" customHeight="1" thickBot="1">
      <c r="B9" s="14" t="s">
        <v>3</v>
      </c>
      <c r="C9" s="11"/>
      <c r="E9" s="84" t="s">
        <v>4</v>
      </c>
      <c r="F9" s="85"/>
      <c r="G9" s="85"/>
      <c r="H9" s="85"/>
      <c r="I9" s="86"/>
      <c r="L9"/>
    </row>
    <row r="10" spans="2:17" ht="20" thickBot="1">
      <c r="E10" s="15"/>
      <c r="F10" s="15"/>
      <c r="G10" s="15"/>
      <c r="H10" s="15"/>
      <c r="I10" s="15"/>
    </row>
    <row r="11" spans="2:17" ht="21" customHeight="1">
      <c r="B11" s="16" t="s">
        <v>5</v>
      </c>
      <c r="C11" s="17"/>
      <c r="E11" s="75" t="s">
        <v>6</v>
      </c>
      <c r="F11" s="76"/>
      <c r="G11" s="76"/>
      <c r="H11" s="76"/>
      <c r="I11" s="77"/>
      <c r="Q11"/>
    </row>
    <row r="12" spans="2:17" ht="21" customHeight="1">
      <c r="B12" s="37" t="s">
        <v>7</v>
      </c>
      <c r="C12" s="18"/>
      <c r="E12" s="78"/>
      <c r="F12" s="79"/>
      <c r="G12" s="79"/>
      <c r="H12" s="79"/>
      <c r="I12" s="80"/>
    </row>
    <row r="13" spans="2:17" ht="21" customHeight="1">
      <c r="B13" s="37" t="s">
        <v>8</v>
      </c>
      <c r="C13" s="18"/>
      <c r="E13" s="78"/>
      <c r="F13" s="79"/>
      <c r="G13" s="79"/>
      <c r="H13" s="79"/>
      <c r="I13" s="80"/>
    </row>
    <row r="14" spans="2:17" ht="21" customHeight="1">
      <c r="B14" s="37" t="s">
        <v>9</v>
      </c>
      <c r="C14" s="18"/>
      <c r="E14" s="78"/>
      <c r="F14" s="79"/>
      <c r="G14" s="79"/>
      <c r="H14" s="79"/>
      <c r="I14" s="80"/>
    </row>
    <row r="15" spans="2:17" ht="21" customHeight="1" thickBot="1">
      <c r="B15" s="38" t="s">
        <v>10</v>
      </c>
      <c r="C15" s="19"/>
      <c r="E15" s="81"/>
      <c r="F15" s="82"/>
      <c r="G15" s="82"/>
      <c r="H15" s="82"/>
      <c r="I15" s="83"/>
    </row>
    <row r="16" spans="2:17" ht="21" thickBot="1">
      <c r="B16" s="20"/>
    </row>
    <row r="17" spans="2:15" ht="20" customHeight="1">
      <c r="B17" s="89" t="s">
        <v>11</v>
      </c>
      <c r="C17" s="90"/>
      <c r="D17" s="21" t="s">
        <v>12</v>
      </c>
      <c r="E17" s="91" t="s">
        <v>13</v>
      </c>
      <c r="F17" s="92"/>
      <c r="G17" s="92"/>
      <c r="H17" s="92"/>
      <c r="I17" s="93"/>
    </row>
    <row r="18" spans="2:15" ht="19" customHeight="1">
      <c r="B18" s="22" t="s">
        <v>14</v>
      </c>
      <c r="C18" s="23" t="s">
        <v>15</v>
      </c>
      <c r="D18" s="21" t="s">
        <v>12</v>
      </c>
      <c r="E18" s="94"/>
      <c r="F18" s="95"/>
      <c r="G18" s="95"/>
      <c r="H18" s="95"/>
      <c r="I18" s="96"/>
    </row>
    <row r="19" spans="2:15" ht="16" customHeight="1">
      <c r="B19" s="30" t="s">
        <v>16</v>
      </c>
      <c r="C19" s="25"/>
      <c r="D19" s="21" t="s">
        <v>12</v>
      </c>
      <c r="E19" s="94"/>
      <c r="F19" s="95"/>
      <c r="G19" s="95"/>
      <c r="H19" s="95"/>
      <c r="I19" s="96"/>
    </row>
    <row r="20" spans="2:15" ht="17" customHeight="1" thickBot="1">
      <c r="B20" s="30" t="s">
        <v>17</v>
      </c>
      <c r="C20" s="25" t="s">
        <v>18</v>
      </c>
      <c r="D20" s="21" t="s">
        <v>12</v>
      </c>
      <c r="E20" s="97"/>
      <c r="F20" s="98"/>
      <c r="G20" s="98"/>
      <c r="H20" s="98"/>
      <c r="I20" s="99"/>
    </row>
    <row r="21" spans="2:15">
      <c r="B21" s="68" t="s">
        <v>19</v>
      </c>
      <c r="C21" s="69" t="s">
        <v>20</v>
      </c>
      <c r="D21" s="21" t="s">
        <v>12</v>
      </c>
    </row>
    <row r="22" spans="2:15" ht="17" thickBot="1">
      <c r="B22" s="68" t="s">
        <v>21</v>
      </c>
      <c r="C22" s="69" t="s">
        <v>22</v>
      </c>
      <c r="D22" s="21" t="s">
        <v>12</v>
      </c>
      <c r="G22" s="21" t="s">
        <v>12</v>
      </c>
    </row>
    <row r="23" spans="2:15" ht="20">
      <c r="B23" s="68" t="s">
        <v>23</v>
      </c>
      <c r="C23" s="69" t="s">
        <v>24</v>
      </c>
      <c r="D23" s="21" t="s">
        <v>12</v>
      </c>
      <c r="E23" s="87" t="s">
        <v>25</v>
      </c>
      <c r="F23" s="88"/>
      <c r="G23" s="21" t="s">
        <v>12</v>
      </c>
      <c r="H23" s="89" t="s">
        <v>26</v>
      </c>
      <c r="I23" s="90"/>
    </row>
    <row r="24" spans="2:15" ht="19">
      <c r="B24" s="30" t="s">
        <v>27</v>
      </c>
      <c r="C24" s="25" t="s">
        <v>28</v>
      </c>
      <c r="D24" s="21" t="s">
        <v>12</v>
      </c>
      <c r="E24" s="24" t="s">
        <v>14</v>
      </c>
      <c r="F24" s="53" t="s">
        <v>15</v>
      </c>
      <c r="G24" s="21" t="s">
        <v>12</v>
      </c>
      <c r="H24" s="22" t="s">
        <v>14</v>
      </c>
      <c r="I24" s="23" t="s">
        <v>15</v>
      </c>
    </row>
    <row r="25" spans="2:15">
      <c r="B25" s="30" t="s">
        <v>29</v>
      </c>
      <c r="C25" s="25" t="s">
        <v>30</v>
      </c>
      <c r="D25" s="21" t="s">
        <v>12</v>
      </c>
      <c r="E25" s="26" t="s">
        <v>31</v>
      </c>
      <c r="F25" s="25" t="s">
        <v>32</v>
      </c>
      <c r="G25" s="21" t="s">
        <v>12</v>
      </c>
      <c r="H25" s="27" t="s">
        <v>33</v>
      </c>
      <c r="I25" s="28" t="s">
        <v>34</v>
      </c>
    </row>
    <row r="26" spans="2:15">
      <c r="B26" s="30" t="s">
        <v>35</v>
      </c>
      <c r="C26" s="25" t="s">
        <v>36</v>
      </c>
      <c r="D26" s="21" t="s">
        <v>12</v>
      </c>
      <c r="E26" s="26" t="s">
        <v>167</v>
      </c>
      <c r="F26" s="25" t="s">
        <v>37</v>
      </c>
      <c r="G26" s="21" t="s">
        <v>12</v>
      </c>
      <c r="H26" s="27" t="s">
        <v>38</v>
      </c>
      <c r="I26" s="28" t="s">
        <v>39</v>
      </c>
    </row>
    <row r="27" spans="2:15">
      <c r="B27" s="70" t="s">
        <v>40</v>
      </c>
      <c r="C27" s="25"/>
      <c r="D27" s="21" t="s">
        <v>12</v>
      </c>
      <c r="E27" s="26" t="s">
        <v>168</v>
      </c>
      <c r="F27" s="25"/>
      <c r="G27" s="21" t="s">
        <v>12</v>
      </c>
      <c r="H27" s="27" t="s">
        <v>41</v>
      </c>
      <c r="I27" s="28" t="s">
        <v>42</v>
      </c>
    </row>
    <row r="28" spans="2:15">
      <c r="B28" s="30" t="s">
        <v>43</v>
      </c>
      <c r="C28" s="71"/>
      <c r="D28" s="21" t="s">
        <v>12</v>
      </c>
      <c r="E28" s="26" t="s">
        <v>169</v>
      </c>
      <c r="F28" s="25"/>
      <c r="G28" s="21" t="s">
        <v>12</v>
      </c>
      <c r="H28" s="27" t="s">
        <v>44</v>
      </c>
      <c r="I28" s="28" t="s">
        <v>45</v>
      </c>
    </row>
    <row r="29" spans="2:15">
      <c r="B29" s="30" t="s">
        <v>46</v>
      </c>
      <c r="C29" s="71"/>
      <c r="D29" s="21" t="s">
        <v>12</v>
      </c>
      <c r="E29" s="26" t="s">
        <v>170</v>
      </c>
      <c r="F29" s="25"/>
      <c r="G29" s="21" t="s">
        <v>12</v>
      </c>
      <c r="H29" s="27" t="s">
        <v>47</v>
      </c>
      <c r="I29" s="28" t="s">
        <v>48</v>
      </c>
    </row>
    <row r="30" spans="2:15">
      <c r="B30" s="70" t="s">
        <v>49</v>
      </c>
      <c r="C30" s="25"/>
      <c r="D30" s="21" t="s">
        <v>12</v>
      </c>
      <c r="E30" s="26" t="s">
        <v>108</v>
      </c>
      <c r="F30" s="25"/>
      <c r="G30" s="21" t="s">
        <v>12</v>
      </c>
      <c r="H30" s="27" t="s">
        <v>50</v>
      </c>
      <c r="I30" s="28" t="s">
        <v>51</v>
      </c>
    </row>
    <row r="31" spans="2:15" ht="17" thickBot="1">
      <c r="B31" s="30" t="s">
        <v>52</v>
      </c>
      <c r="C31" s="25"/>
      <c r="D31" s="21" t="s">
        <v>12</v>
      </c>
      <c r="E31" s="29"/>
      <c r="F31" s="31"/>
      <c r="G31" s="21" t="s">
        <v>12</v>
      </c>
      <c r="H31" s="33"/>
      <c r="I31" s="34"/>
    </row>
    <row r="32" spans="2:15" ht="17" customHeight="1" thickBot="1">
      <c r="B32" s="68" t="s">
        <v>53</v>
      </c>
      <c r="C32" s="72" t="s">
        <v>54</v>
      </c>
      <c r="D32" s="21" t="s">
        <v>12</v>
      </c>
      <c r="G32" s="21" t="s">
        <v>12</v>
      </c>
      <c r="L32" s="36"/>
      <c r="M32" s="36"/>
      <c r="O32"/>
    </row>
    <row r="33" spans="2:11" ht="17" customHeight="1">
      <c r="B33" s="68" t="s">
        <v>55</v>
      </c>
      <c r="C33" s="72" t="s">
        <v>56</v>
      </c>
      <c r="D33" s="21" t="s">
        <v>12</v>
      </c>
      <c r="E33" s="89" t="s">
        <v>57</v>
      </c>
      <c r="F33" s="90"/>
      <c r="G33" s="21" t="s">
        <v>12</v>
      </c>
      <c r="H33" s="55" t="s">
        <v>58</v>
      </c>
      <c r="I33" s="63">
        <v>45658</v>
      </c>
      <c r="K33" s="35"/>
    </row>
    <row r="34" spans="2:11" ht="17" customHeight="1" thickBot="1">
      <c r="B34" s="68" t="s">
        <v>59</v>
      </c>
      <c r="C34" s="72" t="s">
        <v>60</v>
      </c>
      <c r="D34" s="21" t="s">
        <v>12</v>
      </c>
      <c r="E34" s="22" t="s">
        <v>14</v>
      </c>
      <c r="F34" s="23" t="s">
        <v>15</v>
      </c>
      <c r="G34" s="21" t="s">
        <v>12</v>
      </c>
      <c r="H34" s="56" t="s">
        <v>61</v>
      </c>
      <c r="I34" s="64">
        <v>62094</v>
      </c>
    </row>
    <row r="35" spans="2:11" ht="17" customHeight="1">
      <c r="B35" s="73" t="s">
        <v>62</v>
      </c>
      <c r="C35" s="25" t="s">
        <v>63</v>
      </c>
      <c r="D35" s="21" t="s">
        <v>12</v>
      </c>
      <c r="E35" s="26" t="s">
        <v>64</v>
      </c>
      <c r="F35" s="25" t="s">
        <v>65</v>
      </c>
      <c r="G35" s="21" t="s">
        <v>12</v>
      </c>
    </row>
    <row r="36" spans="2:11" ht="17" customHeight="1">
      <c r="B36" s="30" t="s">
        <v>66</v>
      </c>
      <c r="C36" s="25"/>
      <c r="D36" s="21" t="s">
        <v>12</v>
      </c>
      <c r="E36" s="26" t="s">
        <v>67</v>
      </c>
      <c r="F36" s="25" t="s">
        <v>68</v>
      </c>
      <c r="G36" s="21" t="s">
        <v>12</v>
      </c>
    </row>
    <row r="37" spans="2:11" ht="17" customHeight="1">
      <c r="B37" s="30" t="s">
        <v>69</v>
      </c>
      <c r="C37" s="25"/>
      <c r="D37" s="21" t="s">
        <v>12</v>
      </c>
      <c r="E37" s="26" t="s">
        <v>70</v>
      </c>
      <c r="F37" s="25" t="s">
        <v>71</v>
      </c>
      <c r="G37" s="21" t="s">
        <v>12</v>
      </c>
    </row>
    <row r="38" spans="2:11">
      <c r="B38" s="30" t="s">
        <v>72</v>
      </c>
      <c r="C38" s="25"/>
      <c r="D38" s="21" t="s">
        <v>12</v>
      </c>
      <c r="E38" s="26"/>
      <c r="F38" s="25"/>
      <c r="G38" s="21" t="s">
        <v>12</v>
      </c>
    </row>
    <row r="39" spans="2:11" ht="17" thickBot="1">
      <c r="B39" s="30" t="s">
        <v>73</v>
      </c>
      <c r="C39" s="25"/>
      <c r="D39" s="21" t="s">
        <v>12</v>
      </c>
      <c r="E39" s="29"/>
      <c r="F39" s="31"/>
      <c r="G39" s="21" t="s">
        <v>12</v>
      </c>
    </row>
    <row r="40" spans="2:11">
      <c r="B40" s="30" t="s">
        <v>74</v>
      </c>
      <c r="C40" s="25"/>
      <c r="D40" s="21" t="s">
        <v>12</v>
      </c>
      <c r="G40" s="21" t="s">
        <v>12</v>
      </c>
    </row>
    <row r="41" spans="2:11">
      <c r="B41" s="30" t="s">
        <v>58</v>
      </c>
      <c r="C41" s="25"/>
      <c r="D41" s="21" t="s">
        <v>12</v>
      </c>
      <c r="G41" s="21"/>
    </row>
    <row r="42" spans="2:11">
      <c r="B42" s="68" t="s">
        <v>75</v>
      </c>
      <c r="C42" s="72" t="s">
        <v>75</v>
      </c>
      <c r="D42" s="21" t="s">
        <v>12</v>
      </c>
    </row>
    <row r="43" spans="2:11">
      <c r="B43" s="30" t="s">
        <v>76</v>
      </c>
      <c r="C43" s="25"/>
      <c r="D43" s="21" t="s">
        <v>12</v>
      </c>
    </row>
    <row r="44" spans="2:11">
      <c r="B44" s="30" t="s">
        <v>77</v>
      </c>
      <c r="C44" s="25" t="s">
        <v>78</v>
      </c>
      <c r="D44" s="21"/>
    </row>
    <row r="45" spans="2:11" ht="17" thickBot="1">
      <c r="B45" s="32" t="s">
        <v>79</v>
      </c>
      <c r="C45" s="31" t="s">
        <v>80</v>
      </c>
      <c r="D45" s="21" t="s">
        <v>12</v>
      </c>
    </row>
    <row r="46" spans="2:11">
      <c r="E46" s="13" t="s">
        <v>108</v>
      </c>
    </row>
  </sheetData>
  <sortState xmlns:xlrd2="http://schemas.microsoft.com/office/spreadsheetml/2017/richdata2" ref="B19:C45">
    <sortCondition ref="B19:B45"/>
  </sortState>
  <mergeCells count="7">
    <mergeCell ref="E11:I15"/>
    <mergeCell ref="E9:I9"/>
    <mergeCell ref="E23:F23"/>
    <mergeCell ref="E33:F33"/>
    <mergeCell ref="B17:C17"/>
    <mergeCell ref="H23:I23"/>
    <mergeCell ref="E17:I20"/>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V86"/>
  <sheetViews>
    <sheetView showGridLines="0" topLeftCell="A6" zoomScale="133" workbookViewId="0">
      <selection activeCell="F87" sqref="F87"/>
    </sheetView>
  </sheetViews>
  <sheetFormatPr baseColWidth="10" defaultColWidth="8.83203125" defaultRowHeight="15"/>
  <cols>
    <col min="1" max="1" width="20.6640625" bestFit="1" customWidth="1"/>
    <col min="2" max="2" width="12.5" bestFit="1" customWidth="1"/>
    <col min="3" max="3" width="6.6640625" bestFit="1" customWidth="1"/>
  </cols>
  <sheetData>
    <row r="1" spans="1:48" ht="47">
      <c r="A1" s="41" t="s">
        <v>0</v>
      </c>
      <c r="B1" s="42"/>
      <c r="C1" s="42"/>
      <c r="D1" s="42"/>
      <c r="E1" s="42"/>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row>
    <row r="2" spans="1:48" ht="26">
      <c r="A2" s="43" t="s">
        <v>81</v>
      </c>
      <c r="B2" s="42"/>
      <c r="C2" s="42"/>
      <c r="D2" s="42"/>
      <c r="E2" s="42"/>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row>
    <row r="3" spans="1:48">
      <c r="A3" s="44" t="s">
        <v>82</v>
      </c>
      <c r="B3" s="44" t="s">
        <v>83</v>
      </c>
      <c r="C3" s="62" t="s">
        <v>84</v>
      </c>
    </row>
    <row r="4" spans="1:48">
      <c r="A4" t="s">
        <v>43</v>
      </c>
      <c r="B4" t="str">
        <f>IF(Definitions!H25="","",Definitions!H25)</f>
        <v>PWRCOA001</v>
      </c>
      <c r="C4" s="60">
        <v>0.05</v>
      </c>
    </row>
    <row r="5" spans="1:48">
      <c r="A5" t="s">
        <v>43</v>
      </c>
      <c r="B5" t="str">
        <f>IF(Definitions!H26="","",Definitions!H26)</f>
        <v>PWROHC001</v>
      </c>
      <c r="C5" s="60">
        <v>0.05</v>
      </c>
    </row>
    <row r="6" spans="1:48">
      <c r="A6" t="s">
        <v>43</v>
      </c>
      <c r="B6" t="str">
        <f>IF(Definitions!H27="","",Definitions!H27)</f>
        <v>PWROHC002</v>
      </c>
      <c r="C6" s="60">
        <v>0.05</v>
      </c>
    </row>
    <row r="7" spans="1:48">
      <c r="A7" t="s">
        <v>43</v>
      </c>
      <c r="B7" t="str">
        <f>IF(Definitions!H28="","",Definitions!H28)</f>
        <v>PWRNGS001</v>
      </c>
      <c r="C7" s="60">
        <v>0.05</v>
      </c>
    </row>
    <row r="8" spans="1:48">
      <c r="A8" t="s">
        <v>43</v>
      </c>
      <c r="B8" t="str">
        <f>IF(Definitions!H29="","",Definitions!H29)</f>
        <v>PWRNGS002</v>
      </c>
      <c r="C8" s="60">
        <v>0.05</v>
      </c>
    </row>
    <row r="9" spans="1:48">
      <c r="A9" t="s">
        <v>43</v>
      </c>
      <c r="B9" t="str">
        <f>IF(Definitions!H30="","",Definitions!H30)</f>
        <v>PWROHC003</v>
      </c>
      <c r="C9" s="60">
        <v>0.05</v>
      </c>
    </row>
    <row r="10" spans="1:48">
      <c r="A10" t="s">
        <v>43</v>
      </c>
      <c r="B10" t="str">
        <f>IF(Definitions!H31="","",Definitions!H31)</f>
        <v/>
      </c>
      <c r="C10" s="60">
        <v>0.05</v>
      </c>
    </row>
    <row r="11" spans="1:48">
      <c r="A11" t="s">
        <v>46</v>
      </c>
      <c r="B11" t="str">
        <f>IF(Definitions!H25="","",Definitions!H25)</f>
        <v>PWRCOA001</v>
      </c>
      <c r="C11" s="61">
        <v>15</v>
      </c>
    </row>
    <row r="12" spans="1:48">
      <c r="A12" t="s">
        <v>46</v>
      </c>
      <c r="B12" t="str">
        <f>IF(Definitions!H26="","",Definitions!H26)</f>
        <v>PWROHC001</v>
      </c>
      <c r="C12" s="61">
        <v>15</v>
      </c>
    </row>
    <row r="13" spans="1:48">
      <c r="A13" t="s">
        <v>46</v>
      </c>
      <c r="B13" t="str">
        <f>IF(Definitions!H27="","",Definitions!H27)</f>
        <v>PWROHC002</v>
      </c>
      <c r="C13" s="61">
        <v>15</v>
      </c>
    </row>
    <row r="14" spans="1:48">
      <c r="A14" t="s">
        <v>46</v>
      </c>
      <c r="B14" t="str">
        <f>IF(Definitions!H28="","",Definitions!H28)</f>
        <v>PWRNGS001</v>
      </c>
      <c r="C14" s="61">
        <v>15</v>
      </c>
    </row>
    <row r="15" spans="1:48">
      <c r="A15" t="s">
        <v>46</v>
      </c>
      <c r="B15" t="str">
        <f>IF(Definitions!H29="","",Definitions!H29)</f>
        <v>PWRNGS002</v>
      </c>
      <c r="C15" s="61">
        <v>15</v>
      </c>
    </row>
    <row r="16" spans="1:48">
      <c r="A16" t="s">
        <v>46</v>
      </c>
      <c r="B16" t="str">
        <f>IF(Definitions!H30="","",Definitions!H30)</f>
        <v>PWROHC003</v>
      </c>
      <c r="C16" s="61">
        <v>15</v>
      </c>
    </row>
    <row r="17" spans="1:3">
      <c r="A17" t="s">
        <v>46</v>
      </c>
      <c r="B17" t="str">
        <f>IF(Definitions!H31="","",Definitions!H31)</f>
        <v/>
      </c>
      <c r="C17" s="61">
        <v>15</v>
      </c>
    </row>
    <row r="18" spans="1:3">
      <c r="A18" s="39" t="s">
        <v>85</v>
      </c>
      <c r="B18" s="39" t="str">
        <f>IF(Definitions!H25="","",Definitions!H25)</f>
        <v>PWRCOA001</v>
      </c>
      <c r="C18" s="57">
        <v>0.06</v>
      </c>
    </row>
    <row r="19" spans="1:3">
      <c r="A19" s="39" t="s">
        <v>75</v>
      </c>
      <c r="B19" s="39" t="str">
        <f>IF(Definitions!H25="","",Definitions!H25)</f>
        <v>PWRCOA001</v>
      </c>
      <c r="C19" s="57">
        <v>2.5000000000000001E-2</v>
      </c>
    </row>
    <row r="20" spans="1:3">
      <c r="A20" s="39" t="s">
        <v>86</v>
      </c>
      <c r="B20" s="39" t="str">
        <f>IF(Definitions!H25="","",Definitions!H25)</f>
        <v>PWRCOA001</v>
      </c>
      <c r="C20" s="58">
        <v>100</v>
      </c>
    </row>
    <row r="21" spans="1:3">
      <c r="A21" s="40" t="s">
        <v>23</v>
      </c>
      <c r="B21" s="39" t="str">
        <f>IF(Definitions!H25="","",Definitions!H25)</f>
        <v>PWRCOA001</v>
      </c>
      <c r="C21" s="57">
        <v>5.0000000000000001E-3</v>
      </c>
    </row>
    <row r="22" spans="1:3">
      <c r="A22" s="40" t="s">
        <v>19</v>
      </c>
      <c r="B22" s="39" t="str">
        <f>IF(Definitions!H25="","",Definitions!H25)</f>
        <v>PWRCOA001</v>
      </c>
      <c r="C22" s="57">
        <v>0.01</v>
      </c>
    </row>
    <row r="23" spans="1:3">
      <c r="A23" s="40" t="s">
        <v>21</v>
      </c>
      <c r="B23" s="39" t="str">
        <f>IF(Definitions!H25="","",Definitions!H25)</f>
        <v>PWRCOA001</v>
      </c>
      <c r="C23" s="57">
        <v>1.4999999999999999E-2</v>
      </c>
    </row>
    <row r="24" spans="1:3">
      <c r="A24" s="39" t="s">
        <v>59</v>
      </c>
      <c r="B24" s="39" t="str">
        <f>IF(Definitions!H25="","",Definitions!H25)</f>
        <v>PWRCOA001</v>
      </c>
      <c r="C24" s="57">
        <v>0.25</v>
      </c>
    </row>
    <row r="25" spans="1:3">
      <c r="A25" s="39" t="s">
        <v>55</v>
      </c>
      <c r="B25" s="39" t="str">
        <f>IF(Definitions!H25="","",Definitions!H25)</f>
        <v>PWRCOA001</v>
      </c>
      <c r="C25" s="57">
        <v>0.85</v>
      </c>
    </row>
    <row r="26" spans="1:3">
      <c r="A26" s="39" t="s">
        <v>53</v>
      </c>
      <c r="B26" s="39" t="str">
        <f>IF(Definitions!H25="","",Definitions!H25)</f>
        <v>PWRCOA001</v>
      </c>
      <c r="C26" s="59">
        <v>40</v>
      </c>
    </row>
    <row r="27" spans="1:3">
      <c r="A27" s="39" t="s">
        <v>85</v>
      </c>
      <c r="B27" s="39" t="str">
        <f>IF(Definitions!H26="","",Definitions!H26)</f>
        <v>PWROHC001</v>
      </c>
      <c r="C27" s="57">
        <v>0.06</v>
      </c>
    </row>
    <row r="28" spans="1:3">
      <c r="A28" s="39" t="s">
        <v>75</v>
      </c>
      <c r="B28" s="39" t="str">
        <f>IF(Definitions!H26="","",Definitions!H26)</f>
        <v>PWROHC001</v>
      </c>
      <c r="C28" s="57">
        <v>2.5000000000000001E-2</v>
      </c>
    </row>
    <row r="29" spans="1:3">
      <c r="A29" s="39" t="s">
        <v>86</v>
      </c>
      <c r="B29" s="39" t="str">
        <f>IF(Definitions!H26="","",Definitions!H26)</f>
        <v>PWROHC001</v>
      </c>
      <c r="C29" s="58">
        <v>100</v>
      </c>
    </row>
    <row r="30" spans="1:3">
      <c r="A30" s="40" t="s">
        <v>23</v>
      </c>
      <c r="B30" s="39" t="str">
        <f>IF(Definitions!H26="","",Definitions!H26)</f>
        <v>PWROHC001</v>
      </c>
      <c r="C30" s="57">
        <v>5.0000000000000001E-3</v>
      </c>
    </row>
    <row r="31" spans="1:3">
      <c r="A31" s="40" t="s">
        <v>19</v>
      </c>
      <c r="B31" s="39" t="str">
        <f>IF(Definitions!H26="","",Definitions!H26)</f>
        <v>PWROHC001</v>
      </c>
      <c r="C31" s="57">
        <v>0.01</v>
      </c>
    </row>
    <row r="32" spans="1:3">
      <c r="A32" s="40" t="s">
        <v>21</v>
      </c>
      <c r="B32" s="39" t="str">
        <f>IF(Definitions!H26="","",Definitions!H26)</f>
        <v>PWROHC001</v>
      </c>
      <c r="C32" s="57">
        <v>1.4999999999999999E-2</v>
      </c>
    </row>
    <row r="33" spans="1:3">
      <c r="A33" s="39" t="s">
        <v>59</v>
      </c>
      <c r="B33" s="39" t="str">
        <f>IF(Definitions!H26="","",Definitions!H26)</f>
        <v>PWROHC001</v>
      </c>
      <c r="C33" s="57">
        <v>0.25</v>
      </c>
    </row>
    <row r="34" spans="1:3">
      <c r="A34" s="39" t="s">
        <v>55</v>
      </c>
      <c r="B34" s="39" t="str">
        <f>IF(Definitions!H26="","",Definitions!H26)</f>
        <v>PWROHC001</v>
      </c>
      <c r="C34" s="57">
        <v>0.7</v>
      </c>
    </row>
    <row r="35" spans="1:3">
      <c r="A35" s="39" t="s">
        <v>53</v>
      </c>
      <c r="B35" s="39" t="str">
        <f>IF(Definitions!H26="","",Definitions!H26)</f>
        <v>PWROHC001</v>
      </c>
      <c r="C35" s="59">
        <v>40</v>
      </c>
    </row>
    <row r="36" spans="1:3">
      <c r="A36" s="39" t="s">
        <v>85</v>
      </c>
      <c r="B36" s="39" t="str">
        <f>IF(Definitions!H27="","",Definitions!H27)</f>
        <v>PWROHC002</v>
      </c>
      <c r="C36" s="57">
        <v>0.06</v>
      </c>
    </row>
    <row r="37" spans="1:3">
      <c r="A37" s="39" t="s">
        <v>75</v>
      </c>
      <c r="B37" s="39" t="str">
        <f>IF(Definitions!H27="","",Definitions!H27)</f>
        <v>PWROHC002</v>
      </c>
      <c r="C37" s="57">
        <v>2.5000000000000001E-2</v>
      </c>
    </row>
    <row r="38" spans="1:3">
      <c r="A38" s="39" t="s">
        <v>86</v>
      </c>
      <c r="B38" s="39" t="str">
        <f>IF(Definitions!H27="","",Definitions!H27)</f>
        <v>PWROHC002</v>
      </c>
      <c r="C38" s="58">
        <v>100</v>
      </c>
    </row>
    <row r="39" spans="1:3">
      <c r="A39" s="40" t="s">
        <v>23</v>
      </c>
      <c r="B39" s="39" t="str">
        <f>IF(Definitions!H27="","",Definitions!H27)</f>
        <v>PWROHC002</v>
      </c>
      <c r="C39" s="57">
        <v>5.0000000000000001E-3</v>
      </c>
    </row>
    <row r="40" spans="1:3">
      <c r="A40" s="40" t="s">
        <v>19</v>
      </c>
      <c r="B40" s="39" t="str">
        <f>IF(Definitions!H27="","",Definitions!H27)</f>
        <v>PWROHC002</v>
      </c>
      <c r="C40" s="57">
        <v>0.01</v>
      </c>
    </row>
    <row r="41" spans="1:3">
      <c r="A41" s="40" t="s">
        <v>21</v>
      </c>
      <c r="B41" s="39" t="str">
        <f>IF(Definitions!H27="","",Definitions!H27)</f>
        <v>PWROHC002</v>
      </c>
      <c r="C41" s="57">
        <v>1.4999999999999999E-2</v>
      </c>
    </row>
    <row r="42" spans="1:3">
      <c r="A42" s="39" t="s">
        <v>59</v>
      </c>
      <c r="B42" s="39" t="str">
        <f>IF(Definitions!H27="","",Definitions!H27)</f>
        <v>PWROHC002</v>
      </c>
      <c r="C42" s="57">
        <v>0.25</v>
      </c>
    </row>
    <row r="43" spans="1:3">
      <c r="A43" s="39" t="s">
        <v>55</v>
      </c>
      <c r="B43" s="39" t="str">
        <f>IF(Definitions!H27="","",Definitions!H27)</f>
        <v>PWROHC002</v>
      </c>
      <c r="C43" s="57">
        <v>0.85</v>
      </c>
    </row>
    <row r="44" spans="1:3">
      <c r="A44" s="39" t="s">
        <v>53</v>
      </c>
      <c r="B44" s="39" t="str">
        <f>IF(Definitions!H27="","",Definitions!H27)</f>
        <v>PWROHC002</v>
      </c>
      <c r="C44" s="59">
        <v>40</v>
      </c>
    </row>
    <row r="45" spans="1:3">
      <c r="A45" s="39" t="s">
        <v>85</v>
      </c>
      <c r="B45" s="39" t="str">
        <f>IF(Definitions!H28="","",Definitions!H28)</f>
        <v>PWRNGS001</v>
      </c>
      <c r="C45" s="57">
        <v>0.06</v>
      </c>
    </row>
    <row r="46" spans="1:3">
      <c r="A46" s="39" t="s">
        <v>75</v>
      </c>
      <c r="B46" s="39" t="str">
        <f>IF(Definitions!H28="","",Definitions!H28)</f>
        <v>PWRNGS001</v>
      </c>
      <c r="C46" s="57">
        <v>2.5000000000000001E-2</v>
      </c>
    </row>
    <row r="47" spans="1:3">
      <c r="A47" s="39" t="s">
        <v>86</v>
      </c>
      <c r="B47" s="39" t="str">
        <f>IF(Definitions!H28="","",Definitions!H28)</f>
        <v>PWRNGS001</v>
      </c>
      <c r="C47" s="58">
        <v>100</v>
      </c>
    </row>
    <row r="48" spans="1:3">
      <c r="A48" s="40" t="s">
        <v>23</v>
      </c>
      <c r="B48" s="39" t="str">
        <f>IF(Definitions!H28="","",Definitions!H28)</f>
        <v>PWRNGS001</v>
      </c>
      <c r="C48" s="57">
        <v>5.0000000000000001E-3</v>
      </c>
    </row>
    <row r="49" spans="1:3">
      <c r="A49" s="40" t="s">
        <v>19</v>
      </c>
      <c r="B49" s="39" t="str">
        <f>IF(Definitions!H28="","",Definitions!H28)</f>
        <v>PWRNGS001</v>
      </c>
      <c r="C49" s="57">
        <v>0.01</v>
      </c>
    </row>
    <row r="50" spans="1:3">
      <c r="A50" s="40" t="s">
        <v>21</v>
      </c>
      <c r="B50" s="39" t="str">
        <f>IF(Definitions!H28="","",Definitions!H28)</f>
        <v>PWRNGS001</v>
      </c>
      <c r="C50" s="57">
        <v>1.4999999999999999E-2</v>
      </c>
    </row>
    <row r="51" spans="1:3">
      <c r="A51" s="39" t="s">
        <v>59</v>
      </c>
      <c r="B51" s="39" t="str">
        <f>IF(Definitions!H28="","",Definitions!H28)</f>
        <v>PWRNGS001</v>
      </c>
      <c r="C51" s="57">
        <v>0.25</v>
      </c>
    </row>
    <row r="52" spans="1:3">
      <c r="A52" s="39" t="s">
        <v>55</v>
      </c>
      <c r="B52" s="39" t="str">
        <f>IF(Definitions!H28="","",Definitions!H28)</f>
        <v>PWRNGS001</v>
      </c>
      <c r="C52" s="57">
        <v>0.85</v>
      </c>
    </row>
    <row r="53" spans="1:3">
      <c r="A53" s="39" t="s">
        <v>53</v>
      </c>
      <c r="B53" s="39" t="str">
        <f>IF(Definitions!H28="","",Definitions!H28)</f>
        <v>PWRNGS001</v>
      </c>
      <c r="C53" s="59">
        <v>40</v>
      </c>
    </row>
    <row r="54" spans="1:3">
      <c r="A54" s="39" t="s">
        <v>85</v>
      </c>
      <c r="B54" s="39" t="str">
        <f>IF(Definitions!H29="","",Definitions!H29)</f>
        <v>PWRNGS002</v>
      </c>
      <c r="C54" s="57">
        <v>0.06</v>
      </c>
    </row>
    <row r="55" spans="1:3">
      <c r="A55" s="39" t="s">
        <v>75</v>
      </c>
      <c r="B55" s="39" t="str">
        <f>IF(Definitions!H29="","",Definitions!H29)</f>
        <v>PWRNGS002</v>
      </c>
      <c r="C55" s="57">
        <v>2.5000000000000001E-2</v>
      </c>
    </row>
    <row r="56" spans="1:3">
      <c r="A56" s="39" t="s">
        <v>86</v>
      </c>
      <c r="B56" s="39" t="str">
        <f>IF(Definitions!H29="","",Definitions!H29)</f>
        <v>PWRNGS002</v>
      </c>
      <c r="C56" s="58">
        <v>100</v>
      </c>
    </row>
    <row r="57" spans="1:3">
      <c r="A57" s="40" t="s">
        <v>23</v>
      </c>
      <c r="B57" s="39" t="str">
        <f>IF(Definitions!H29="","",Definitions!H29)</f>
        <v>PWRNGS002</v>
      </c>
      <c r="C57" s="57">
        <v>5.0000000000000001E-3</v>
      </c>
    </row>
    <row r="58" spans="1:3">
      <c r="A58" s="40" t="s">
        <v>19</v>
      </c>
      <c r="B58" s="39" t="str">
        <f>IF(Definitions!H29="","",Definitions!H29)</f>
        <v>PWRNGS002</v>
      </c>
      <c r="C58" s="57">
        <v>0.01</v>
      </c>
    </row>
    <row r="59" spans="1:3">
      <c r="A59" s="40" t="s">
        <v>21</v>
      </c>
      <c r="B59" s="39" t="str">
        <f>IF(Definitions!H29="","",Definitions!H29)</f>
        <v>PWRNGS002</v>
      </c>
      <c r="C59" s="57">
        <v>1.4999999999999999E-2</v>
      </c>
    </row>
    <row r="60" spans="1:3">
      <c r="A60" s="39" t="s">
        <v>59</v>
      </c>
      <c r="B60" s="39" t="str">
        <f>IF(Definitions!H29="","",Definitions!H29)</f>
        <v>PWRNGS002</v>
      </c>
      <c r="C60" s="57">
        <v>0.25</v>
      </c>
    </row>
    <row r="61" spans="1:3">
      <c r="A61" s="39" t="s">
        <v>55</v>
      </c>
      <c r="B61" s="39" t="str">
        <f>IF(Definitions!H29="","",Definitions!H29)</f>
        <v>PWRNGS002</v>
      </c>
      <c r="C61" s="57">
        <v>0.85</v>
      </c>
    </row>
    <row r="62" spans="1:3">
      <c r="A62" s="39" t="s">
        <v>53</v>
      </c>
      <c r="B62" s="39" t="str">
        <f>IF(Definitions!H29="","",Definitions!H29)</f>
        <v>PWRNGS002</v>
      </c>
      <c r="C62" s="59">
        <v>40</v>
      </c>
    </row>
    <row r="63" spans="1:3">
      <c r="A63" s="39" t="s">
        <v>85</v>
      </c>
      <c r="B63" s="39" t="str">
        <f>IF(Definitions!H30="","",Definitions!H30)</f>
        <v>PWROHC003</v>
      </c>
      <c r="C63" s="57">
        <v>0.06</v>
      </c>
    </row>
    <row r="64" spans="1:3">
      <c r="A64" s="39" t="s">
        <v>75</v>
      </c>
      <c r="B64" s="39" t="str">
        <f>IF(Definitions!H30="","",Definitions!H30)</f>
        <v>PWROHC003</v>
      </c>
      <c r="C64" s="57">
        <v>2.5000000000000001E-2</v>
      </c>
    </row>
    <row r="65" spans="1:3">
      <c r="A65" s="39" t="s">
        <v>86</v>
      </c>
      <c r="B65" s="39" t="str">
        <f>IF(Definitions!H30="","",Definitions!H30)</f>
        <v>PWROHC003</v>
      </c>
      <c r="C65" s="58">
        <v>100</v>
      </c>
    </row>
    <row r="66" spans="1:3">
      <c r="A66" s="40" t="s">
        <v>23</v>
      </c>
      <c r="B66" s="39" t="str">
        <f>IF(Definitions!H30="","",Definitions!H30)</f>
        <v>PWROHC003</v>
      </c>
      <c r="C66" s="57">
        <v>5.0000000000000001E-3</v>
      </c>
    </row>
    <row r="67" spans="1:3">
      <c r="A67" s="40" t="s">
        <v>19</v>
      </c>
      <c r="B67" s="39" t="str">
        <f>IF(Definitions!H30="","",Definitions!H30)</f>
        <v>PWROHC003</v>
      </c>
      <c r="C67" s="57">
        <v>0.01</v>
      </c>
    </row>
    <row r="68" spans="1:3">
      <c r="A68" s="40" t="s">
        <v>21</v>
      </c>
      <c r="B68" s="39" t="str">
        <f>IF(Definitions!H30="","",Definitions!H30)</f>
        <v>PWROHC003</v>
      </c>
      <c r="C68" s="57">
        <v>1.4999999999999999E-2</v>
      </c>
    </row>
    <row r="69" spans="1:3">
      <c r="A69" s="39" t="s">
        <v>59</v>
      </c>
      <c r="B69" s="39" t="str">
        <f>IF(Definitions!H30="","",Definitions!H30)</f>
        <v>PWROHC003</v>
      </c>
      <c r="C69" s="57">
        <v>0.25</v>
      </c>
    </row>
    <row r="70" spans="1:3">
      <c r="A70" s="39" t="s">
        <v>55</v>
      </c>
      <c r="B70" s="39" t="str">
        <f>IF(Definitions!H30="","",Definitions!H30)</f>
        <v>PWROHC003</v>
      </c>
      <c r="C70" s="57">
        <v>0.85</v>
      </c>
    </row>
    <row r="71" spans="1:3">
      <c r="A71" s="39" t="s">
        <v>53</v>
      </c>
      <c r="B71" s="39" t="str">
        <f>IF(Definitions!H30="","",Definitions!H30)</f>
        <v>PWROHC003</v>
      </c>
      <c r="C71" s="59">
        <v>40</v>
      </c>
    </row>
    <row r="72" spans="1:3">
      <c r="A72" s="39" t="s">
        <v>85</v>
      </c>
      <c r="B72" s="39" t="str">
        <f>IF(Definitions!H31="","",Definitions!H31)</f>
        <v/>
      </c>
      <c r="C72" s="57"/>
    </row>
    <row r="73" spans="1:3">
      <c r="A73" s="39" t="s">
        <v>75</v>
      </c>
      <c r="B73" s="39" t="str">
        <f>IF(Definitions!H31="","",Definitions!H31)</f>
        <v/>
      </c>
      <c r="C73" s="57"/>
    </row>
    <row r="74" spans="1:3">
      <c r="A74" s="39" t="s">
        <v>86</v>
      </c>
      <c r="B74" s="39" t="str">
        <f>IF(Definitions!H31="","",Definitions!H31)</f>
        <v/>
      </c>
      <c r="C74" s="58"/>
    </row>
    <row r="75" spans="1:3">
      <c r="A75" s="40" t="s">
        <v>23</v>
      </c>
      <c r="B75" s="39" t="str">
        <f>IF(Definitions!H31="","",Definitions!H31)</f>
        <v/>
      </c>
      <c r="C75" s="57"/>
    </row>
    <row r="76" spans="1:3">
      <c r="A76" s="40" t="s">
        <v>19</v>
      </c>
      <c r="B76" s="39" t="str">
        <f>IF(Definitions!H31="","",Definitions!H31)</f>
        <v/>
      </c>
      <c r="C76" s="57"/>
    </row>
    <row r="77" spans="1:3">
      <c r="A77" s="40" t="s">
        <v>21</v>
      </c>
      <c r="B77" s="39" t="str">
        <f>IF(Definitions!H31="","",Definitions!H31)</f>
        <v/>
      </c>
      <c r="C77" s="57"/>
    </row>
    <row r="78" spans="1:3">
      <c r="A78" s="39" t="s">
        <v>59</v>
      </c>
      <c r="B78" s="39" t="str">
        <f>IF(Definitions!H31="","",Definitions!H31)</f>
        <v/>
      </c>
      <c r="C78" s="57"/>
    </row>
    <row r="79" spans="1:3">
      <c r="A79" s="39" t="s">
        <v>55</v>
      </c>
      <c r="B79" s="39" t="str">
        <f>IF(Definitions!H31="","",Definitions!H31)</f>
        <v/>
      </c>
      <c r="C79" s="57"/>
    </row>
    <row r="80" spans="1:3">
      <c r="A80" s="39" t="s">
        <v>53</v>
      </c>
      <c r="B80" s="39" t="str">
        <f>IF(Definitions!H31="","",Definitions!H31)</f>
        <v/>
      </c>
      <c r="C80" s="59"/>
    </row>
    <row r="81" spans="1:3">
      <c r="A81" s="74" t="s">
        <v>77</v>
      </c>
      <c r="B81" t="str">
        <f>IF(Definitions!H25="","",Definitions!H25)</f>
        <v>PWRCOA001</v>
      </c>
      <c r="C81" s="57">
        <v>0.25</v>
      </c>
    </row>
    <row r="82" spans="1:3">
      <c r="A82" s="74" t="s">
        <v>77</v>
      </c>
      <c r="B82" t="str">
        <f>IF(Definitions!H26="","",Definitions!H26)</f>
        <v>PWROHC001</v>
      </c>
      <c r="C82" s="57">
        <v>0.25</v>
      </c>
    </row>
    <row r="83" spans="1:3">
      <c r="A83" s="74" t="s">
        <v>77</v>
      </c>
      <c r="B83" t="str">
        <f>IF(Definitions!H27="","",Definitions!H27)</f>
        <v>PWROHC002</v>
      </c>
      <c r="C83" s="57">
        <v>0.25</v>
      </c>
    </row>
    <row r="84" spans="1:3">
      <c r="A84" s="74" t="s">
        <v>77</v>
      </c>
      <c r="B84" t="str">
        <f>IF(Definitions!H28="","",Definitions!H28)</f>
        <v>PWRNGS001</v>
      </c>
      <c r="C84" s="57">
        <v>0.25</v>
      </c>
    </row>
    <row r="85" spans="1:3">
      <c r="A85" s="74" t="s">
        <v>77</v>
      </c>
      <c r="B85" t="str">
        <f>IF(Definitions!H29="","",Definitions!H29)</f>
        <v>PWRNGS002</v>
      </c>
      <c r="C85" s="57">
        <v>0.25</v>
      </c>
    </row>
    <row r="86" spans="1:3">
      <c r="A86" s="74" t="s">
        <v>77</v>
      </c>
      <c r="B86" t="str">
        <f>IF(Definitions!H30="","",Definitions!H30)</f>
        <v>PWROHC003</v>
      </c>
      <c r="C86" s="57">
        <v>0.25</v>
      </c>
    </row>
  </sheetData>
  <autoFilter ref="A3:C3" xr:uid="{00000000-0001-0000-0300-000000000000}"/>
  <phoneticPr fontId="5" type="noConversion"/>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V300"/>
  <sheetViews>
    <sheetView showGridLines="0" zoomScaleNormal="169" workbookViewId="0">
      <selection activeCell="H61" sqref="H61"/>
    </sheetView>
  </sheetViews>
  <sheetFormatPr baseColWidth="10" defaultColWidth="8.83203125" defaultRowHeight="15"/>
  <cols>
    <col min="1" max="1" width="29.33203125" customWidth="1"/>
    <col min="2" max="2" width="23.1640625" bestFit="1" customWidth="1"/>
    <col min="3" max="3" width="19.83203125" bestFit="1" customWidth="1"/>
    <col min="4" max="4" width="21.6640625" bestFit="1" customWidth="1"/>
    <col min="5" max="5" width="25" bestFit="1" customWidth="1"/>
    <col min="6" max="6" width="16" bestFit="1" customWidth="1"/>
    <col min="7" max="8" width="12.6640625" bestFit="1" customWidth="1"/>
    <col min="9" max="9" width="14.33203125" bestFit="1" customWidth="1"/>
    <col min="11" max="11" width="14.1640625" bestFit="1" customWidth="1"/>
  </cols>
  <sheetData>
    <row r="1" spans="1:48" ht="47">
      <c r="A1" s="41" t="s">
        <v>0</v>
      </c>
      <c r="B1" s="42"/>
      <c r="C1" s="42"/>
      <c r="D1" s="42"/>
      <c r="E1" s="42"/>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row>
    <row r="2" spans="1:48" ht="26">
      <c r="A2" s="43" t="s">
        <v>87</v>
      </c>
      <c r="B2" s="42"/>
      <c r="C2" s="42"/>
      <c r="D2" s="42"/>
      <c r="E2" s="42"/>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row>
    <row r="3" spans="1:48">
      <c r="A3" s="44" t="s">
        <v>66</v>
      </c>
      <c r="B3" s="45" t="s">
        <v>88</v>
      </c>
      <c r="C3" s="45" t="s">
        <v>89</v>
      </c>
      <c r="D3" s="46" t="s">
        <v>72</v>
      </c>
      <c r="E3" s="46" t="s">
        <v>52</v>
      </c>
      <c r="F3" s="44" t="s">
        <v>16</v>
      </c>
      <c r="G3" s="44" t="s">
        <v>58</v>
      </c>
      <c r="H3" s="44" t="s">
        <v>69</v>
      </c>
      <c r="I3" s="44" t="s">
        <v>73</v>
      </c>
      <c r="J3" t="s">
        <v>171</v>
      </c>
    </row>
    <row r="4" spans="1:48">
      <c r="A4" s="102" t="s">
        <v>109</v>
      </c>
      <c r="B4" s="103">
        <v>38.988918205501051</v>
      </c>
      <c r="C4" s="58">
        <v>34.251550000000002</v>
      </c>
      <c r="D4" s="100">
        <f>B4+C4</f>
        <v>73.24046820550106</v>
      </c>
      <c r="E4" s="47">
        <v>63.85</v>
      </c>
      <c r="F4" s="58">
        <v>83.7</v>
      </c>
      <c r="G4" s="58">
        <v>2016</v>
      </c>
      <c r="H4" t="s">
        <v>33</v>
      </c>
      <c r="I4" t="s">
        <v>90</v>
      </c>
      <c r="J4">
        <v>261765</v>
      </c>
    </row>
    <row r="5" spans="1:48">
      <c r="A5" s="70" t="s">
        <v>110</v>
      </c>
      <c r="B5" s="103">
        <v>37.053349107732274</v>
      </c>
      <c r="C5" s="58">
        <v>32.427390000000003</v>
      </c>
      <c r="D5" s="100">
        <f t="shared" ref="D5:D68" si="0">B5+C5</f>
        <v>69.480739107732276</v>
      </c>
      <c r="E5" s="47">
        <v>63.85</v>
      </c>
      <c r="F5" s="58">
        <v>52</v>
      </c>
      <c r="G5" s="58">
        <v>2006</v>
      </c>
      <c r="H5" t="s">
        <v>33</v>
      </c>
      <c r="I5" t="s">
        <v>90</v>
      </c>
      <c r="J5">
        <v>371764</v>
      </c>
    </row>
    <row r="6" spans="1:48">
      <c r="A6" s="70" t="s">
        <v>111</v>
      </c>
      <c r="B6" s="103">
        <v>37.855434784068621</v>
      </c>
      <c r="C6" s="58">
        <v>33.1706</v>
      </c>
      <c r="D6" s="100">
        <f t="shared" si="0"/>
        <v>71.026034784068628</v>
      </c>
      <c r="E6" s="47">
        <v>63.85</v>
      </c>
      <c r="F6" s="58">
        <v>300</v>
      </c>
      <c r="G6" s="58">
        <v>1984</v>
      </c>
      <c r="H6" t="s">
        <v>33</v>
      </c>
      <c r="I6" t="s">
        <v>90</v>
      </c>
      <c r="J6">
        <v>313349</v>
      </c>
    </row>
    <row r="7" spans="1:48">
      <c r="A7" s="70" t="s">
        <v>112</v>
      </c>
      <c r="B7" s="103">
        <v>39.635486890128504</v>
      </c>
      <c r="C7" s="58">
        <v>35.014710000000001</v>
      </c>
      <c r="D7" s="100">
        <f t="shared" si="0"/>
        <v>74.650196890128512</v>
      </c>
      <c r="E7" s="47">
        <v>63.85</v>
      </c>
      <c r="F7" s="58">
        <v>300</v>
      </c>
      <c r="G7" s="58">
        <v>2010</v>
      </c>
      <c r="H7" t="s">
        <v>33</v>
      </c>
      <c r="I7" t="s">
        <v>90</v>
      </c>
      <c r="J7">
        <v>377511</v>
      </c>
    </row>
    <row r="8" spans="1:48">
      <c r="A8" s="70" t="s">
        <v>113</v>
      </c>
      <c r="B8" s="103">
        <v>38.775000518120187</v>
      </c>
      <c r="C8" s="58">
        <v>34.180770000000003</v>
      </c>
      <c r="D8" s="100">
        <f t="shared" si="0"/>
        <v>72.95577051812019</v>
      </c>
      <c r="E8" s="47">
        <v>63.85</v>
      </c>
      <c r="F8" s="58">
        <v>345</v>
      </c>
      <c r="G8" s="58">
        <v>2013</v>
      </c>
      <c r="H8" t="s">
        <v>33</v>
      </c>
      <c r="I8" t="s">
        <v>90</v>
      </c>
      <c r="J8">
        <v>402890</v>
      </c>
    </row>
    <row r="9" spans="1:48">
      <c r="A9" s="70" t="s">
        <v>114</v>
      </c>
      <c r="B9" s="103">
        <v>40.09422185329263</v>
      </c>
      <c r="C9" s="58">
        <v>35.391860000000001</v>
      </c>
      <c r="D9" s="100">
        <f t="shared" si="0"/>
        <v>75.486081853292632</v>
      </c>
      <c r="E9" s="47">
        <v>63.85</v>
      </c>
      <c r="F9" s="58">
        <v>345</v>
      </c>
      <c r="G9" s="58">
        <v>2010</v>
      </c>
      <c r="H9" t="s">
        <v>33</v>
      </c>
      <c r="I9" t="s">
        <v>90</v>
      </c>
      <c r="J9">
        <v>295934</v>
      </c>
    </row>
    <row r="10" spans="1:48">
      <c r="A10" s="70" t="s">
        <v>115</v>
      </c>
      <c r="B10" s="103">
        <v>39.674423672072272</v>
      </c>
      <c r="C10" s="58">
        <v>35.014189999999999</v>
      </c>
      <c r="D10" s="100">
        <f t="shared" si="0"/>
        <v>74.688613672072279</v>
      </c>
      <c r="E10" s="47">
        <v>63.85</v>
      </c>
      <c r="F10" s="58">
        <v>330</v>
      </c>
      <c r="G10" s="58">
        <v>1998</v>
      </c>
      <c r="H10" t="s">
        <v>33</v>
      </c>
      <c r="I10" t="s">
        <v>90</v>
      </c>
      <c r="J10">
        <v>338351</v>
      </c>
    </row>
    <row r="11" spans="1:48">
      <c r="A11" s="70" t="s">
        <v>116</v>
      </c>
      <c r="B11" s="103">
        <v>36.759009721387088</v>
      </c>
      <c r="C11" s="58">
        <v>32.191009999999999</v>
      </c>
      <c r="D11" s="100">
        <f t="shared" si="0"/>
        <v>68.950019721387093</v>
      </c>
      <c r="E11" s="47">
        <v>63.85</v>
      </c>
      <c r="F11" s="58">
        <v>344</v>
      </c>
      <c r="G11" s="58">
        <v>2010</v>
      </c>
      <c r="H11" t="s">
        <v>33</v>
      </c>
      <c r="I11" t="s">
        <v>90</v>
      </c>
      <c r="J11">
        <v>429209</v>
      </c>
    </row>
    <row r="12" spans="1:48">
      <c r="A12" s="70" t="s">
        <v>117</v>
      </c>
      <c r="B12" s="103">
        <v>38.273742038027166</v>
      </c>
      <c r="C12" s="58">
        <v>33.655340000000002</v>
      </c>
      <c r="D12" s="100">
        <f t="shared" si="0"/>
        <v>71.929082038027161</v>
      </c>
      <c r="E12" s="47">
        <v>63.85</v>
      </c>
      <c r="F12" s="58">
        <v>382</v>
      </c>
      <c r="G12" s="58">
        <v>1996</v>
      </c>
      <c r="H12" t="s">
        <v>33</v>
      </c>
      <c r="I12" t="s">
        <v>90</v>
      </c>
      <c r="J12">
        <v>379846</v>
      </c>
    </row>
    <row r="13" spans="1:48">
      <c r="A13" s="70" t="s">
        <v>118</v>
      </c>
      <c r="B13" s="103">
        <v>36.923249620163688</v>
      </c>
      <c r="C13" s="58">
        <v>32.27617</v>
      </c>
      <c r="D13" s="100">
        <f t="shared" si="0"/>
        <v>69.199419620163695</v>
      </c>
      <c r="E13" s="47">
        <v>63.85</v>
      </c>
      <c r="F13" s="58">
        <v>382</v>
      </c>
      <c r="G13" s="58">
        <v>2010</v>
      </c>
      <c r="H13" t="s">
        <v>33</v>
      </c>
      <c r="I13" t="s">
        <v>90</v>
      </c>
      <c r="J13">
        <v>351141</v>
      </c>
    </row>
    <row r="14" spans="1:48">
      <c r="A14" s="70" t="s">
        <v>119</v>
      </c>
      <c r="B14" s="103">
        <v>38.218600882089035</v>
      </c>
      <c r="C14" s="58">
        <v>33.509900000000002</v>
      </c>
      <c r="D14" s="100">
        <f t="shared" si="0"/>
        <v>71.728500882089037</v>
      </c>
      <c r="E14" s="47">
        <v>63.85</v>
      </c>
      <c r="F14" s="58">
        <v>420</v>
      </c>
      <c r="G14" s="58">
        <v>2018</v>
      </c>
      <c r="H14" t="s">
        <v>33</v>
      </c>
      <c r="I14" t="s">
        <v>90</v>
      </c>
      <c r="J14">
        <v>289328</v>
      </c>
    </row>
    <row r="15" spans="1:48">
      <c r="A15" s="70" t="s">
        <v>120</v>
      </c>
      <c r="B15" s="103">
        <v>39.286891022686468</v>
      </c>
      <c r="C15" s="58">
        <v>34.648150000000001</v>
      </c>
      <c r="D15" s="100">
        <f t="shared" si="0"/>
        <v>73.935041022686477</v>
      </c>
      <c r="E15" s="47">
        <v>63.85</v>
      </c>
      <c r="F15" s="58">
        <v>511</v>
      </c>
      <c r="G15" s="58">
        <v>2000</v>
      </c>
      <c r="H15" t="s">
        <v>33</v>
      </c>
      <c r="I15" t="s">
        <v>90</v>
      </c>
      <c r="J15">
        <v>359754</v>
      </c>
    </row>
    <row r="16" spans="1:48">
      <c r="A16" s="70" t="s">
        <v>121</v>
      </c>
      <c r="B16" s="103">
        <v>39.228463326426173</v>
      </c>
      <c r="C16" s="58">
        <v>34.614809999999999</v>
      </c>
      <c r="D16" s="100">
        <f t="shared" si="0"/>
        <v>73.843273326426171</v>
      </c>
      <c r="E16" s="47">
        <v>63.85</v>
      </c>
      <c r="F16" s="58">
        <v>500</v>
      </c>
      <c r="G16" s="58">
        <v>2019</v>
      </c>
      <c r="H16" t="s">
        <v>33</v>
      </c>
      <c r="I16" t="s">
        <v>90</v>
      </c>
      <c r="J16" s="3">
        <v>383970</v>
      </c>
    </row>
    <row r="17" spans="1:10">
      <c r="A17" s="70" t="s">
        <v>122</v>
      </c>
      <c r="B17" s="103">
        <v>38.330040884899894</v>
      </c>
      <c r="C17" s="58">
        <v>33.62961</v>
      </c>
      <c r="D17" s="100">
        <f t="shared" si="0"/>
        <v>71.959650884899901</v>
      </c>
      <c r="E17" s="47">
        <v>63.85</v>
      </c>
      <c r="F17" s="58">
        <v>150</v>
      </c>
      <c r="G17" s="58">
        <v>2017</v>
      </c>
      <c r="H17" t="s">
        <v>33</v>
      </c>
      <c r="I17" t="s">
        <v>90</v>
      </c>
      <c r="J17">
        <v>297492</v>
      </c>
    </row>
    <row r="18" spans="1:10">
      <c r="A18" s="70" t="s">
        <v>123</v>
      </c>
      <c r="B18" s="103">
        <v>36.714377300843424</v>
      </c>
      <c r="C18" s="58">
        <v>32.022799999999997</v>
      </c>
      <c r="D18" s="100">
        <f t="shared" si="0"/>
        <v>68.737177300843427</v>
      </c>
      <c r="E18" s="47">
        <v>63.85</v>
      </c>
      <c r="F18" s="58">
        <v>150</v>
      </c>
      <c r="G18" s="58">
        <v>2017</v>
      </c>
      <c r="H18" t="s">
        <v>33</v>
      </c>
      <c r="I18" t="s">
        <v>90</v>
      </c>
      <c r="J18">
        <v>306229</v>
      </c>
    </row>
    <row r="19" spans="1:10">
      <c r="A19" s="70" t="s">
        <v>124</v>
      </c>
      <c r="B19" s="103">
        <v>38.737226374451204</v>
      </c>
      <c r="C19" s="58">
        <v>34.128259999999997</v>
      </c>
      <c r="D19" s="100">
        <f t="shared" si="0"/>
        <v>72.865486374451194</v>
      </c>
      <c r="E19" s="47">
        <v>63.85</v>
      </c>
      <c r="F19" s="58">
        <v>150</v>
      </c>
      <c r="G19" s="58">
        <v>2018</v>
      </c>
      <c r="H19" t="s">
        <v>33</v>
      </c>
      <c r="I19" t="s">
        <v>90</v>
      </c>
      <c r="J19">
        <v>388574</v>
      </c>
    </row>
    <row r="20" spans="1:10">
      <c r="A20" s="70" t="s">
        <v>125</v>
      </c>
      <c r="B20" s="103">
        <v>39.113237406131702</v>
      </c>
      <c r="C20" s="58">
        <v>34.520310000000002</v>
      </c>
      <c r="D20" s="100">
        <f t="shared" si="0"/>
        <v>73.633547406131697</v>
      </c>
      <c r="E20" s="47">
        <v>63.85</v>
      </c>
      <c r="F20" s="58">
        <v>150</v>
      </c>
      <c r="G20" s="58">
        <v>2019</v>
      </c>
      <c r="H20" t="s">
        <v>33</v>
      </c>
      <c r="I20" t="s">
        <v>90</v>
      </c>
      <c r="J20">
        <v>404661</v>
      </c>
    </row>
    <row r="21" spans="1:10">
      <c r="A21" s="70" t="s">
        <v>126</v>
      </c>
      <c r="B21" s="103">
        <v>36.932214603102324</v>
      </c>
      <c r="C21" s="58">
        <v>32.354860000000002</v>
      </c>
      <c r="D21" s="100">
        <f t="shared" si="0"/>
        <v>69.287074603102326</v>
      </c>
      <c r="E21" s="47">
        <v>63.85</v>
      </c>
      <c r="F21" s="58">
        <v>150</v>
      </c>
      <c r="G21" s="58">
        <v>2016</v>
      </c>
      <c r="H21" t="s">
        <v>33</v>
      </c>
      <c r="I21" t="s">
        <v>90</v>
      </c>
      <c r="J21">
        <v>420367</v>
      </c>
    </row>
    <row r="22" spans="1:10">
      <c r="A22" s="70" t="s">
        <v>127</v>
      </c>
      <c r="B22" s="103">
        <v>38.118649579873328</v>
      </c>
      <c r="C22" s="58">
        <v>33.419879999999999</v>
      </c>
      <c r="D22" s="100">
        <f t="shared" si="0"/>
        <v>71.538529579873327</v>
      </c>
      <c r="E22" s="47">
        <v>63.85</v>
      </c>
      <c r="F22" s="58">
        <v>150</v>
      </c>
      <c r="G22" s="58">
        <v>2010</v>
      </c>
      <c r="H22" t="s">
        <v>33</v>
      </c>
      <c r="I22" t="s">
        <v>90</v>
      </c>
      <c r="J22">
        <v>299719</v>
      </c>
    </row>
    <row r="23" spans="1:10">
      <c r="A23" s="70" t="s">
        <v>128</v>
      </c>
      <c r="B23" s="103">
        <v>38.916942035530695</v>
      </c>
      <c r="C23" s="58">
        <v>34.271479999999997</v>
      </c>
      <c r="D23" s="100">
        <f t="shared" si="0"/>
        <v>73.188422035530692</v>
      </c>
      <c r="E23" s="47">
        <v>63.85</v>
      </c>
      <c r="F23" s="58">
        <v>135</v>
      </c>
      <c r="G23" s="58">
        <v>2015</v>
      </c>
      <c r="H23" t="s">
        <v>33</v>
      </c>
      <c r="I23" t="s">
        <v>90</v>
      </c>
      <c r="J23">
        <v>352476</v>
      </c>
    </row>
    <row r="24" spans="1:10">
      <c r="A24" s="70" t="s">
        <v>129</v>
      </c>
      <c r="B24" s="103">
        <v>38.919339429125664</v>
      </c>
      <c r="C24" s="58">
        <v>34.277340000000002</v>
      </c>
      <c r="D24" s="100">
        <f t="shared" si="0"/>
        <v>73.196679429125666</v>
      </c>
      <c r="E24" s="47">
        <v>63.85</v>
      </c>
      <c r="F24" s="58">
        <v>135</v>
      </c>
      <c r="G24" s="58">
        <v>2016</v>
      </c>
      <c r="H24" t="s">
        <v>33</v>
      </c>
      <c r="I24" t="s">
        <v>90</v>
      </c>
      <c r="J24">
        <v>355899</v>
      </c>
    </row>
    <row r="25" spans="1:10">
      <c r="A25" s="70" t="s">
        <v>130</v>
      </c>
      <c r="B25" s="103">
        <v>39.012227043578136</v>
      </c>
      <c r="C25" s="58">
        <v>34.38897</v>
      </c>
      <c r="D25" s="100">
        <f t="shared" si="0"/>
        <v>73.401197043578136</v>
      </c>
      <c r="E25" s="47">
        <v>63.85</v>
      </c>
      <c r="F25" s="58">
        <v>647</v>
      </c>
      <c r="G25" s="58">
        <v>1999</v>
      </c>
      <c r="H25" t="s">
        <v>33</v>
      </c>
      <c r="I25" t="s">
        <v>90</v>
      </c>
      <c r="J25">
        <v>374333</v>
      </c>
    </row>
    <row r="26" spans="1:10">
      <c r="A26" s="70" t="s">
        <v>131</v>
      </c>
      <c r="B26" s="103">
        <v>39.135852925450287</v>
      </c>
      <c r="C26" s="58">
        <v>34.432369999999999</v>
      </c>
      <c r="D26" s="100">
        <f t="shared" si="0"/>
        <v>73.568222925450286</v>
      </c>
      <c r="E26" s="47">
        <v>63.85</v>
      </c>
      <c r="F26" s="58">
        <v>647</v>
      </c>
      <c r="G26" s="58">
        <v>2010</v>
      </c>
      <c r="H26" t="s">
        <v>33</v>
      </c>
      <c r="I26" t="s">
        <v>90</v>
      </c>
      <c r="J26">
        <v>295182</v>
      </c>
    </row>
    <row r="27" spans="1:10">
      <c r="A27" s="70" t="s">
        <v>132</v>
      </c>
      <c r="B27" s="103">
        <v>37.223089912593011</v>
      </c>
      <c r="C27" s="58">
        <v>32.634650000000001</v>
      </c>
      <c r="D27" s="100">
        <f t="shared" si="0"/>
        <v>69.857739912593019</v>
      </c>
      <c r="E27" s="47">
        <v>63.85</v>
      </c>
      <c r="F27" s="58">
        <v>30</v>
      </c>
      <c r="G27" s="58">
        <v>1998</v>
      </c>
      <c r="H27" t="s">
        <v>33</v>
      </c>
      <c r="I27" t="s">
        <v>90</v>
      </c>
      <c r="J27">
        <v>409052</v>
      </c>
    </row>
    <row r="28" spans="1:10">
      <c r="A28" s="70" t="s">
        <v>133</v>
      </c>
      <c r="B28" s="103">
        <v>39.162446553785081</v>
      </c>
      <c r="C28" s="58">
        <v>34.515729999999998</v>
      </c>
      <c r="D28" s="100">
        <f t="shared" si="0"/>
        <v>73.678176553785079</v>
      </c>
      <c r="E28" s="47">
        <v>63.85</v>
      </c>
      <c r="F28" s="58">
        <v>140</v>
      </c>
      <c r="G28" s="58">
        <v>2014</v>
      </c>
      <c r="H28" t="s">
        <v>33</v>
      </c>
      <c r="I28" t="s">
        <v>90</v>
      </c>
      <c r="J28">
        <v>351126</v>
      </c>
    </row>
    <row r="29" spans="1:10">
      <c r="A29" s="70" t="s">
        <v>134</v>
      </c>
      <c r="B29" s="103">
        <v>36.969736719409212</v>
      </c>
      <c r="C29" s="58">
        <v>32.28763</v>
      </c>
      <c r="D29" s="100">
        <f t="shared" si="0"/>
        <v>69.25736671940922</v>
      </c>
      <c r="E29" s="47">
        <v>63.85</v>
      </c>
      <c r="F29" s="58">
        <v>83.7</v>
      </c>
      <c r="G29" s="58">
        <v>2010</v>
      </c>
      <c r="H29" t="s">
        <v>33</v>
      </c>
      <c r="I29" t="s">
        <v>90</v>
      </c>
      <c r="J29">
        <v>316131</v>
      </c>
    </row>
    <row r="30" spans="1:10">
      <c r="A30" s="70" t="s">
        <v>135</v>
      </c>
      <c r="B30" s="103">
        <v>38.071026995987253</v>
      </c>
      <c r="C30" s="58">
        <v>33.512059999999998</v>
      </c>
      <c r="D30" s="100">
        <f t="shared" si="0"/>
        <v>71.583086995987259</v>
      </c>
      <c r="E30" s="47">
        <v>63.85</v>
      </c>
      <c r="F30" s="58">
        <v>83.7</v>
      </c>
      <c r="G30" s="58">
        <v>2010</v>
      </c>
      <c r="H30" t="s">
        <v>33</v>
      </c>
      <c r="I30" t="s">
        <v>90</v>
      </c>
      <c r="J30">
        <v>438614</v>
      </c>
    </row>
    <row r="31" spans="1:10">
      <c r="A31" s="70" t="s">
        <v>136</v>
      </c>
      <c r="B31" s="103">
        <v>40.336138327503996</v>
      </c>
      <c r="C31" s="58">
        <v>35.632019999999997</v>
      </c>
      <c r="D31" s="100">
        <f t="shared" si="0"/>
        <v>75.968158327504</v>
      </c>
      <c r="E31" s="47">
        <v>63.85</v>
      </c>
      <c r="F31" s="58">
        <v>83.7</v>
      </c>
      <c r="G31" s="58">
        <v>2011</v>
      </c>
      <c r="H31" t="s">
        <v>33</v>
      </c>
      <c r="I31" t="s">
        <v>90</v>
      </c>
      <c r="J31">
        <v>294235</v>
      </c>
    </row>
    <row r="32" spans="1:10">
      <c r="A32" s="70" t="s">
        <v>137</v>
      </c>
      <c r="B32" s="103">
        <v>37.633887958536107</v>
      </c>
      <c r="C32" s="58">
        <v>32.978549999999998</v>
      </c>
      <c r="D32" s="100">
        <f t="shared" si="0"/>
        <v>70.612437958536105</v>
      </c>
      <c r="E32" s="47">
        <v>63.85</v>
      </c>
      <c r="F32" s="58">
        <v>103</v>
      </c>
      <c r="G32" s="58">
        <v>2010</v>
      </c>
      <c r="H32" t="s">
        <v>33</v>
      </c>
      <c r="I32" t="s">
        <v>90</v>
      </c>
      <c r="J32">
        <v>342088</v>
      </c>
    </row>
    <row r="33" spans="1:10">
      <c r="A33" s="70" t="s">
        <v>138</v>
      </c>
      <c r="B33" s="103">
        <v>40.223700090748245</v>
      </c>
      <c r="C33" s="58">
        <v>35.476489999999998</v>
      </c>
      <c r="D33" s="100">
        <f t="shared" si="0"/>
        <v>75.700190090748237</v>
      </c>
      <c r="E33" s="47">
        <v>63.85</v>
      </c>
      <c r="F33" s="58">
        <v>103</v>
      </c>
      <c r="G33" s="58">
        <v>2011</v>
      </c>
      <c r="H33" t="s">
        <v>33</v>
      </c>
      <c r="I33" t="s">
        <v>90</v>
      </c>
      <c r="J33">
        <v>250833</v>
      </c>
    </row>
    <row r="34" spans="1:10">
      <c r="A34" s="70" t="s">
        <v>139</v>
      </c>
      <c r="B34" s="103">
        <v>39.912327803652467</v>
      </c>
      <c r="C34" s="58">
        <v>35.292920000000002</v>
      </c>
      <c r="D34" s="100">
        <f t="shared" si="0"/>
        <v>75.205247803652469</v>
      </c>
      <c r="E34" s="47">
        <v>63.85</v>
      </c>
      <c r="F34" s="58">
        <v>83.7</v>
      </c>
      <c r="G34" s="58">
        <v>2010</v>
      </c>
      <c r="H34" t="s">
        <v>33</v>
      </c>
      <c r="I34" t="s">
        <v>90</v>
      </c>
      <c r="J34">
        <v>378554</v>
      </c>
    </row>
    <row r="35" spans="1:10">
      <c r="A35" s="70" t="s">
        <v>140</v>
      </c>
      <c r="B35" s="103">
        <v>38.642547053804385</v>
      </c>
      <c r="C35" s="58">
        <v>33.92483</v>
      </c>
      <c r="D35" s="100">
        <f t="shared" si="0"/>
        <v>72.567377053804393</v>
      </c>
      <c r="E35" s="47">
        <v>63.85</v>
      </c>
      <c r="F35" s="58">
        <v>83.7</v>
      </c>
      <c r="G35" s="58">
        <v>2011</v>
      </c>
      <c r="H35" t="s">
        <v>33</v>
      </c>
      <c r="I35" t="s">
        <v>90</v>
      </c>
      <c r="J35">
        <v>280664</v>
      </c>
    </row>
    <row r="36" spans="1:10">
      <c r="A36" s="70" t="s">
        <v>141</v>
      </c>
      <c r="B36" s="103">
        <v>40.25089353492254</v>
      </c>
      <c r="C36" s="58">
        <v>35.60371</v>
      </c>
      <c r="D36" s="100">
        <f t="shared" si="0"/>
        <v>75.854603534922546</v>
      </c>
      <c r="E36" s="47">
        <v>63.85</v>
      </c>
      <c r="F36" s="58">
        <v>150</v>
      </c>
      <c r="G36" s="58">
        <v>2016</v>
      </c>
      <c r="H36" t="s">
        <v>33</v>
      </c>
      <c r="I36" t="s">
        <v>90</v>
      </c>
      <c r="J36">
        <v>350771</v>
      </c>
    </row>
    <row r="37" spans="1:10">
      <c r="A37" s="70" t="s">
        <v>142</v>
      </c>
      <c r="B37" s="103">
        <v>40.887191601130681</v>
      </c>
      <c r="C37" s="58">
        <v>36.205019999999998</v>
      </c>
      <c r="D37" s="100">
        <f t="shared" si="0"/>
        <v>77.092211601130685</v>
      </c>
      <c r="E37" s="47">
        <v>63.85</v>
      </c>
      <c r="F37" s="58">
        <v>135</v>
      </c>
      <c r="G37" s="58">
        <v>2016</v>
      </c>
      <c r="H37" t="s">
        <v>33</v>
      </c>
      <c r="I37" t="s">
        <v>90</v>
      </c>
      <c r="J37">
        <v>316166</v>
      </c>
    </row>
    <row r="38" spans="1:10">
      <c r="A38" s="70" t="s">
        <v>143</v>
      </c>
      <c r="B38" s="103">
        <v>36.978676938698662</v>
      </c>
      <c r="C38" s="58">
        <v>32.398690000000002</v>
      </c>
      <c r="D38" s="100">
        <f t="shared" si="0"/>
        <v>69.377366938698657</v>
      </c>
      <c r="E38" s="47">
        <v>63.85</v>
      </c>
      <c r="F38" s="58">
        <v>26.3</v>
      </c>
      <c r="G38" s="58">
        <v>1982</v>
      </c>
      <c r="H38" t="s">
        <v>33</v>
      </c>
      <c r="I38" t="s">
        <v>90</v>
      </c>
      <c r="J38">
        <v>417455</v>
      </c>
    </row>
    <row r="39" spans="1:10">
      <c r="A39" s="70" t="s">
        <v>144</v>
      </c>
      <c r="B39" s="103">
        <v>39.30429639104289</v>
      </c>
      <c r="C39" s="58">
        <v>34.683579999999999</v>
      </c>
      <c r="D39" s="100">
        <f t="shared" si="0"/>
        <v>73.987876391042889</v>
      </c>
      <c r="E39" s="47">
        <v>63.85</v>
      </c>
      <c r="F39" s="58">
        <v>40</v>
      </c>
      <c r="G39" s="58">
        <v>1983</v>
      </c>
      <c r="H39" t="s">
        <v>33</v>
      </c>
      <c r="I39" t="s">
        <v>90</v>
      </c>
      <c r="J39">
        <v>376969</v>
      </c>
    </row>
    <row r="40" spans="1:10">
      <c r="A40" s="70" t="s">
        <v>145</v>
      </c>
      <c r="B40" s="103">
        <v>40.627450327857019</v>
      </c>
      <c r="C40" s="58">
        <v>35.945900000000002</v>
      </c>
      <c r="D40" s="100">
        <f t="shared" si="0"/>
        <v>76.573350327857014</v>
      </c>
      <c r="E40" s="47">
        <v>63.85</v>
      </c>
      <c r="F40" s="58">
        <v>83.7</v>
      </c>
      <c r="G40" s="58">
        <v>2015</v>
      </c>
      <c r="H40" t="s">
        <v>33</v>
      </c>
      <c r="I40" t="s">
        <v>90</v>
      </c>
      <c r="J40">
        <v>316238</v>
      </c>
    </row>
    <row r="41" spans="1:10">
      <c r="A41" s="70" t="s">
        <v>146</v>
      </c>
      <c r="B41" s="103">
        <v>40.96662075803421</v>
      </c>
      <c r="C41" s="58">
        <v>36.220910000000003</v>
      </c>
      <c r="D41" s="100">
        <f t="shared" si="0"/>
        <v>77.187530758034214</v>
      </c>
      <c r="E41" s="47">
        <v>63.85</v>
      </c>
      <c r="F41" s="58">
        <v>170</v>
      </c>
      <c r="G41" s="58">
        <v>2019</v>
      </c>
      <c r="H41" t="s">
        <v>33</v>
      </c>
      <c r="I41" t="s">
        <v>90</v>
      </c>
      <c r="J41">
        <v>252996</v>
      </c>
    </row>
    <row r="42" spans="1:10">
      <c r="A42" s="70" t="s">
        <v>147</v>
      </c>
      <c r="B42" s="103">
        <v>39.889364424374527</v>
      </c>
      <c r="C42" s="58">
        <v>35.317950000000003</v>
      </c>
      <c r="D42" s="100">
        <f t="shared" si="0"/>
        <v>75.20731442437453</v>
      </c>
      <c r="E42" s="47">
        <v>63.85</v>
      </c>
      <c r="F42" s="58">
        <v>170</v>
      </c>
      <c r="G42" s="58">
        <v>2019</v>
      </c>
      <c r="H42" t="s">
        <v>33</v>
      </c>
      <c r="I42" t="s">
        <v>90</v>
      </c>
      <c r="J42">
        <v>426687</v>
      </c>
    </row>
    <row r="43" spans="1:10">
      <c r="A43" s="70" t="s">
        <v>148</v>
      </c>
      <c r="B43" s="103">
        <v>39.988689615779826</v>
      </c>
      <c r="C43" s="58">
        <v>35.265450000000001</v>
      </c>
      <c r="D43" s="100">
        <f t="shared" si="0"/>
        <v>75.25413961577982</v>
      </c>
      <c r="E43" s="47">
        <v>63.85</v>
      </c>
      <c r="F43" s="58">
        <v>135</v>
      </c>
      <c r="G43" s="58">
        <v>2016</v>
      </c>
      <c r="H43" t="s">
        <v>33</v>
      </c>
      <c r="I43" t="s">
        <v>90</v>
      </c>
      <c r="J43">
        <v>275534</v>
      </c>
    </row>
    <row r="44" spans="1:10">
      <c r="A44" s="70" t="s">
        <v>149</v>
      </c>
      <c r="B44" s="103">
        <v>40.598423484538003</v>
      </c>
      <c r="C44" s="58">
        <v>35.95993</v>
      </c>
      <c r="D44" s="100">
        <f t="shared" si="0"/>
        <v>76.558353484538003</v>
      </c>
      <c r="E44" s="47">
        <v>63.85</v>
      </c>
      <c r="F44" s="58">
        <v>135</v>
      </c>
      <c r="G44" s="58">
        <v>2010</v>
      </c>
      <c r="H44" t="s">
        <v>33</v>
      </c>
      <c r="I44" t="s">
        <v>90</v>
      </c>
      <c r="J44">
        <v>359897</v>
      </c>
    </row>
    <row r="45" spans="1:10">
      <c r="A45" s="70" t="s">
        <v>150</v>
      </c>
      <c r="B45" s="103">
        <v>38.844492579054105</v>
      </c>
      <c r="C45" s="58">
        <v>34.20973</v>
      </c>
      <c r="D45" s="100">
        <f t="shared" si="0"/>
        <v>73.054222579054112</v>
      </c>
      <c r="E45" s="47">
        <v>63.85</v>
      </c>
      <c r="F45" s="58">
        <v>135</v>
      </c>
      <c r="G45" s="58">
        <v>2010</v>
      </c>
      <c r="H45" t="s">
        <v>33</v>
      </c>
      <c r="I45" t="s">
        <v>90</v>
      </c>
      <c r="J45">
        <v>363611</v>
      </c>
    </row>
    <row r="46" spans="1:10">
      <c r="A46" s="70" t="s">
        <v>151</v>
      </c>
      <c r="B46" s="103">
        <v>36.857184510398525</v>
      </c>
      <c r="C46" s="58">
        <v>32.264499999999998</v>
      </c>
      <c r="D46" s="100">
        <f t="shared" si="0"/>
        <v>69.121684510398524</v>
      </c>
      <c r="E46" s="47">
        <v>63.85</v>
      </c>
      <c r="F46" s="58">
        <v>116</v>
      </c>
      <c r="G46" s="58">
        <v>2006</v>
      </c>
      <c r="H46" t="s">
        <v>33</v>
      </c>
      <c r="I46" t="s">
        <v>90</v>
      </c>
      <c r="J46">
        <v>405500</v>
      </c>
    </row>
    <row r="47" spans="1:10">
      <c r="A47" s="70" t="s">
        <v>152</v>
      </c>
      <c r="B47" s="103">
        <v>38.560743109179981</v>
      </c>
      <c r="C47" s="58">
        <v>33.992019999999997</v>
      </c>
      <c r="D47" s="100">
        <f t="shared" si="0"/>
        <v>72.552763109179978</v>
      </c>
      <c r="E47" s="47">
        <v>63.85</v>
      </c>
      <c r="F47" s="58">
        <v>116</v>
      </c>
      <c r="G47" s="58">
        <v>2010</v>
      </c>
      <c r="H47" t="s">
        <v>33</v>
      </c>
      <c r="I47" t="s">
        <v>90</v>
      </c>
      <c r="J47">
        <v>429354</v>
      </c>
    </row>
    <row r="48" spans="1:10">
      <c r="A48" s="70" t="s">
        <v>153</v>
      </c>
      <c r="B48" s="103">
        <v>38.910709384094744</v>
      </c>
      <c r="C48" s="58">
        <v>34.221110000000003</v>
      </c>
      <c r="D48" s="100">
        <f t="shared" si="0"/>
        <v>73.13181938409474</v>
      </c>
      <c r="E48" s="47">
        <v>63.85</v>
      </c>
      <c r="F48" s="58">
        <v>150</v>
      </c>
      <c r="G48" s="58">
        <v>2016</v>
      </c>
      <c r="H48" t="s">
        <v>33</v>
      </c>
      <c r="I48" t="s">
        <v>90</v>
      </c>
      <c r="J48">
        <v>309016</v>
      </c>
    </row>
    <row r="49" spans="1:10">
      <c r="A49" s="70" t="s">
        <v>154</v>
      </c>
      <c r="B49" s="103">
        <v>38.603562727870724</v>
      </c>
      <c r="C49" s="58">
        <v>33.985880000000002</v>
      </c>
      <c r="D49" s="100">
        <f t="shared" si="0"/>
        <v>72.589442727870733</v>
      </c>
      <c r="E49" s="47">
        <v>63.85</v>
      </c>
      <c r="F49" s="58">
        <v>150</v>
      </c>
      <c r="G49" s="58">
        <v>2018</v>
      </c>
      <c r="H49" t="s">
        <v>33</v>
      </c>
      <c r="I49" t="s">
        <v>90</v>
      </c>
      <c r="J49">
        <v>380613</v>
      </c>
    </row>
    <row r="50" spans="1:10">
      <c r="A50" s="70" t="s">
        <v>155</v>
      </c>
      <c r="B50" s="103">
        <v>39.976509015009015</v>
      </c>
      <c r="C50" s="58">
        <v>35.325679999999998</v>
      </c>
      <c r="D50" s="100">
        <f t="shared" si="0"/>
        <v>75.30218901500902</v>
      </c>
      <c r="E50" s="47">
        <v>63.85</v>
      </c>
      <c r="F50" s="58">
        <v>150</v>
      </c>
      <c r="G50" s="58">
        <v>2015</v>
      </c>
      <c r="H50" t="s">
        <v>33</v>
      </c>
      <c r="I50" t="s">
        <v>90</v>
      </c>
      <c r="J50">
        <v>347614</v>
      </c>
    </row>
    <row r="51" spans="1:10">
      <c r="A51" s="70" t="s">
        <v>156</v>
      </c>
      <c r="B51" s="103">
        <v>37.271704269821697</v>
      </c>
      <c r="C51" s="58">
        <v>32.649340000000002</v>
      </c>
      <c r="D51" s="100">
        <f t="shared" si="0"/>
        <v>69.921044269821692</v>
      </c>
      <c r="E51" s="47">
        <v>63.85</v>
      </c>
      <c r="F51" s="58">
        <v>150</v>
      </c>
      <c r="G51" s="58">
        <v>2016</v>
      </c>
      <c r="H51" t="s">
        <v>33</v>
      </c>
      <c r="I51" t="s">
        <v>90</v>
      </c>
      <c r="J51">
        <v>375956</v>
      </c>
    </row>
    <row r="52" spans="1:10">
      <c r="A52" s="70" t="s">
        <v>157</v>
      </c>
      <c r="B52" s="103">
        <v>40.493524886343373</v>
      </c>
      <c r="C52" s="58">
        <v>35.848660000000002</v>
      </c>
      <c r="D52" s="100">
        <f t="shared" si="0"/>
        <v>76.342184886343375</v>
      </c>
      <c r="E52" s="47">
        <v>63.85</v>
      </c>
      <c r="F52" s="58">
        <v>150</v>
      </c>
      <c r="G52" s="58">
        <v>2019</v>
      </c>
      <c r="H52" t="s">
        <v>33</v>
      </c>
      <c r="I52" t="s">
        <v>90</v>
      </c>
      <c r="J52">
        <v>353560</v>
      </c>
    </row>
    <row r="53" spans="1:10">
      <c r="A53" s="70" t="s">
        <v>158</v>
      </c>
      <c r="B53" s="103">
        <v>39.264292438338273</v>
      </c>
      <c r="C53" s="58">
        <v>34.654330000000002</v>
      </c>
      <c r="D53" s="100">
        <f t="shared" si="0"/>
        <v>73.918622438338275</v>
      </c>
      <c r="E53" s="47">
        <v>63.85</v>
      </c>
      <c r="F53" s="58">
        <v>150</v>
      </c>
      <c r="G53" s="58">
        <v>2019</v>
      </c>
      <c r="H53" t="s">
        <v>33</v>
      </c>
      <c r="I53" t="s">
        <v>90</v>
      </c>
      <c r="J53">
        <v>388307</v>
      </c>
    </row>
    <row r="54" spans="1:10">
      <c r="A54" s="70" t="s">
        <v>159</v>
      </c>
      <c r="B54" s="103">
        <v>41.110220202286037</v>
      </c>
      <c r="C54" s="58">
        <v>36.538060000000002</v>
      </c>
      <c r="D54" s="100">
        <f t="shared" si="0"/>
        <v>77.648280202286031</v>
      </c>
      <c r="E54" s="47">
        <v>63.85</v>
      </c>
      <c r="F54" s="58">
        <v>150</v>
      </c>
      <c r="G54" s="58">
        <v>2019</v>
      </c>
      <c r="H54" t="s">
        <v>33</v>
      </c>
      <c r="I54" t="s">
        <v>90</v>
      </c>
      <c r="J54">
        <v>425938</v>
      </c>
    </row>
    <row r="55" spans="1:10">
      <c r="A55" s="70" t="s">
        <v>160</v>
      </c>
      <c r="B55" s="103">
        <v>38.950069640794538</v>
      </c>
      <c r="C55" s="58">
        <v>34.24042</v>
      </c>
      <c r="D55" s="100">
        <f t="shared" si="0"/>
        <v>73.190489640794539</v>
      </c>
      <c r="E55" s="47">
        <v>63.85</v>
      </c>
      <c r="F55" s="58">
        <v>150</v>
      </c>
      <c r="G55" s="58">
        <v>2020</v>
      </c>
      <c r="H55" t="s">
        <v>33</v>
      </c>
      <c r="I55" t="s">
        <v>90</v>
      </c>
      <c r="J55">
        <v>289054</v>
      </c>
    </row>
    <row r="56" spans="1:10">
      <c r="A56" s="70" t="s">
        <v>161</v>
      </c>
      <c r="B56" s="103">
        <v>40.941676308592591</v>
      </c>
      <c r="C56" s="58">
        <v>36.27881</v>
      </c>
      <c r="D56" s="100">
        <f t="shared" si="0"/>
        <v>77.220486308592598</v>
      </c>
      <c r="E56" s="47">
        <v>63.85</v>
      </c>
      <c r="F56" s="58">
        <v>55</v>
      </c>
      <c r="G56" s="58">
        <v>2017</v>
      </c>
      <c r="H56" t="s">
        <v>33</v>
      </c>
      <c r="I56" t="s">
        <v>90</v>
      </c>
      <c r="J56">
        <v>335633</v>
      </c>
    </row>
    <row r="57" spans="1:10">
      <c r="A57" s="70" t="s">
        <v>162</v>
      </c>
      <c r="B57" s="103">
        <v>39.888613094755492</v>
      </c>
      <c r="C57" s="58">
        <v>35.208390000000001</v>
      </c>
      <c r="D57" s="100">
        <f t="shared" si="0"/>
        <v>75.097003094755493</v>
      </c>
      <c r="E57" s="47">
        <v>63.85</v>
      </c>
      <c r="F57" s="58">
        <v>55</v>
      </c>
      <c r="G57" s="58">
        <v>2010</v>
      </c>
      <c r="H57" t="s">
        <v>33</v>
      </c>
      <c r="I57" t="s">
        <v>90</v>
      </c>
      <c r="J57">
        <v>318353</v>
      </c>
    </row>
    <row r="58" spans="1:10">
      <c r="A58" s="70" t="s">
        <v>163</v>
      </c>
      <c r="B58" s="103">
        <v>37.1184362479068</v>
      </c>
      <c r="C58" s="58">
        <v>32.483179999999997</v>
      </c>
      <c r="D58" s="100">
        <f t="shared" si="0"/>
        <v>69.601616247906804</v>
      </c>
      <c r="E58" s="47">
        <v>63.85</v>
      </c>
      <c r="F58" s="58">
        <v>55</v>
      </c>
      <c r="G58" s="58">
        <v>2010</v>
      </c>
      <c r="H58" t="s">
        <v>33</v>
      </c>
      <c r="I58" t="s">
        <v>90</v>
      </c>
      <c r="J58">
        <v>363124</v>
      </c>
    </row>
    <row r="59" spans="1:10">
      <c r="A59" s="70" t="s">
        <v>164</v>
      </c>
      <c r="B59" s="103">
        <v>37.459125927986896</v>
      </c>
      <c r="C59" s="58">
        <v>32.77702</v>
      </c>
      <c r="D59" s="100">
        <f t="shared" si="0"/>
        <v>70.236145927986897</v>
      </c>
      <c r="E59" s="47">
        <v>63.85</v>
      </c>
      <c r="F59" s="58">
        <v>118.5</v>
      </c>
      <c r="G59" s="58">
        <v>2016</v>
      </c>
      <c r="H59" t="s">
        <v>33</v>
      </c>
      <c r="I59" t="s">
        <v>90</v>
      </c>
      <c r="J59">
        <v>316481</v>
      </c>
    </row>
    <row r="60" spans="1:10">
      <c r="A60" s="70" t="s">
        <v>165</v>
      </c>
      <c r="B60" s="103">
        <v>39.66340954116756</v>
      </c>
      <c r="C60" s="58">
        <v>35.084000000000003</v>
      </c>
      <c r="D60" s="100">
        <f t="shared" si="0"/>
        <v>74.747409541167571</v>
      </c>
      <c r="E60" s="47">
        <v>63.85</v>
      </c>
      <c r="F60" s="58">
        <v>118.5</v>
      </c>
      <c r="G60" s="58">
        <v>2019</v>
      </c>
      <c r="H60" t="s">
        <v>33</v>
      </c>
      <c r="I60" t="s">
        <v>90</v>
      </c>
      <c r="J60">
        <v>418718</v>
      </c>
    </row>
    <row r="61" spans="1:10">
      <c r="A61" s="70" t="s">
        <v>166</v>
      </c>
      <c r="B61" s="103">
        <v>37.177623199142452</v>
      </c>
      <c r="C61" s="58">
        <v>32.520490000000002</v>
      </c>
      <c r="D61" s="100">
        <f t="shared" si="0"/>
        <v>69.698113199142455</v>
      </c>
      <c r="E61" s="47">
        <v>63.85</v>
      </c>
      <c r="F61" s="58">
        <v>25</v>
      </c>
      <c r="G61" s="58">
        <v>2020</v>
      </c>
      <c r="H61" s="39" t="s">
        <v>33</v>
      </c>
      <c r="I61" t="s">
        <v>90</v>
      </c>
      <c r="J61">
        <v>341343</v>
      </c>
    </row>
    <row r="62" spans="1:10">
      <c r="A62" s="102" t="s">
        <v>172</v>
      </c>
      <c r="B62" s="103">
        <v>38.988918205501051</v>
      </c>
      <c r="C62" s="58">
        <v>34.251550000000002</v>
      </c>
      <c r="D62" s="100">
        <f t="shared" si="0"/>
        <v>73.24046820550106</v>
      </c>
      <c r="E62" s="47">
        <v>63.85</v>
      </c>
      <c r="F62" s="58">
        <v>83.7</v>
      </c>
      <c r="G62" s="58">
        <v>2016</v>
      </c>
      <c r="H62" s="39" t="s">
        <v>38</v>
      </c>
      <c r="I62" t="s">
        <v>92</v>
      </c>
      <c r="J62">
        <v>261765</v>
      </c>
    </row>
    <row r="63" spans="1:10">
      <c r="A63" s="102" t="s">
        <v>173</v>
      </c>
      <c r="B63" s="103">
        <v>37.053349107732274</v>
      </c>
      <c r="C63" s="58">
        <v>32.427390000000003</v>
      </c>
      <c r="D63" s="100">
        <f t="shared" si="0"/>
        <v>69.480739107732276</v>
      </c>
      <c r="E63" s="47">
        <v>63.85</v>
      </c>
      <c r="F63" s="58">
        <v>52</v>
      </c>
      <c r="G63" s="58">
        <v>2006</v>
      </c>
      <c r="H63" s="39" t="s">
        <v>38</v>
      </c>
      <c r="I63" t="s">
        <v>92</v>
      </c>
      <c r="J63">
        <v>371764</v>
      </c>
    </row>
    <row r="64" spans="1:10">
      <c r="A64" s="102" t="s">
        <v>174</v>
      </c>
      <c r="B64" s="103">
        <v>37.855434784068621</v>
      </c>
      <c r="C64" s="58">
        <v>33.1706</v>
      </c>
      <c r="D64" s="100">
        <f t="shared" si="0"/>
        <v>71.026034784068628</v>
      </c>
      <c r="E64" s="47">
        <v>63.85</v>
      </c>
      <c r="F64" s="58">
        <v>300</v>
      </c>
      <c r="G64" s="58">
        <v>1984</v>
      </c>
      <c r="H64" s="39" t="s">
        <v>38</v>
      </c>
      <c r="I64" t="s">
        <v>92</v>
      </c>
      <c r="J64">
        <v>313349</v>
      </c>
    </row>
    <row r="65" spans="1:10">
      <c r="A65" s="102" t="s">
        <v>175</v>
      </c>
      <c r="B65" s="103">
        <v>39.635486890128504</v>
      </c>
      <c r="C65" s="58">
        <v>35.014710000000001</v>
      </c>
      <c r="D65" s="100">
        <f t="shared" si="0"/>
        <v>74.650196890128512</v>
      </c>
      <c r="E65" s="47">
        <v>63.85</v>
      </c>
      <c r="F65" s="58">
        <v>300</v>
      </c>
      <c r="G65" s="58">
        <v>2010</v>
      </c>
      <c r="H65" s="39" t="s">
        <v>38</v>
      </c>
      <c r="I65" t="s">
        <v>92</v>
      </c>
      <c r="J65">
        <v>377511</v>
      </c>
    </row>
    <row r="66" spans="1:10">
      <c r="A66" s="102" t="s">
        <v>176</v>
      </c>
      <c r="B66" s="103">
        <v>38.775000518120187</v>
      </c>
      <c r="C66" s="58">
        <v>34.180770000000003</v>
      </c>
      <c r="D66" s="100">
        <f t="shared" si="0"/>
        <v>72.95577051812019</v>
      </c>
      <c r="E66" s="47">
        <v>63.85</v>
      </c>
      <c r="F66" s="58">
        <v>345</v>
      </c>
      <c r="G66" s="58">
        <v>2013</v>
      </c>
      <c r="H66" s="39" t="s">
        <v>38</v>
      </c>
      <c r="I66" t="s">
        <v>92</v>
      </c>
      <c r="J66">
        <v>402890</v>
      </c>
    </row>
    <row r="67" spans="1:10">
      <c r="A67" s="102" t="s">
        <v>177</v>
      </c>
      <c r="B67" s="103">
        <v>40.09422185329263</v>
      </c>
      <c r="C67" s="58">
        <v>35.391860000000001</v>
      </c>
      <c r="D67" s="100">
        <f t="shared" si="0"/>
        <v>75.486081853292632</v>
      </c>
      <c r="E67" s="47">
        <v>63.85</v>
      </c>
      <c r="F67" s="58">
        <v>345</v>
      </c>
      <c r="G67" s="58">
        <v>2010</v>
      </c>
      <c r="H67" s="39" t="s">
        <v>38</v>
      </c>
      <c r="I67" t="s">
        <v>92</v>
      </c>
      <c r="J67">
        <v>295934</v>
      </c>
    </row>
    <row r="68" spans="1:10">
      <c r="A68" s="102" t="s">
        <v>178</v>
      </c>
      <c r="B68" s="103">
        <v>39.674423672072272</v>
      </c>
      <c r="C68" s="58">
        <v>35.014189999999999</v>
      </c>
      <c r="D68" s="100">
        <f t="shared" si="0"/>
        <v>74.688613672072279</v>
      </c>
      <c r="E68" s="47">
        <v>63.85</v>
      </c>
      <c r="F68" s="58">
        <v>330</v>
      </c>
      <c r="G68" s="58">
        <v>1998</v>
      </c>
      <c r="H68" s="39" t="s">
        <v>38</v>
      </c>
      <c r="I68" t="s">
        <v>92</v>
      </c>
      <c r="J68">
        <v>338351</v>
      </c>
    </row>
    <row r="69" spans="1:10">
      <c r="A69" s="102" t="s">
        <v>179</v>
      </c>
      <c r="B69" s="103">
        <v>36.759009721387088</v>
      </c>
      <c r="C69" s="58">
        <v>32.191009999999999</v>
      </c>
      <c r="D69" s="100">
        <f t="shared" ref="D69:D119" si="1">B69+C69</f>
        <v>68.950019721387093</v>
      </c>
      <c r="E69" s="47">
        <v>63.85</v>
      </c>
      <c r="F69" s="58">
        <v>344</v>
      </c>
      <c r="G69" s="58">
        <v>2010</v>
      </c>
      <c r="H69" s="39" t="s">
        <v>38</v>
      </c>
      <c r="I69" t="s">
        <v>92</v>
      </c>
      <c r="J69">
        <v>429209</v>
      </c>
    </row>
    <row r="70" spans="1:10">
      <c r="A70" s="102" t="s">
        <v>180</v>
      </c>
      <c r="B70" s="103">
        <v>38.273742038027166</v>
      </c>
      <c r="C70" s="58">
        <v>33.655340000000002</v>
      </c>
      <c r="D70" s="100">
        <f t="shared" si="1"/>
        <v>71.929082038027161</v>
      </c>
      <c r="E70" s="47">
        <v>63.85</v>
      </c>
      <c r="F70" s="58">
        <v>382</v>
      </c>
      <c r="G70" s="58">
        <v>1996</v>
      </c>
      <c r="H70" s="39" t="s">
        <v>38</v>
      </c>
      <c r="I70" t="s">
        <v>92</v>
      </c>
      <c r="J70">
        <v>379846</v>
      </c>
    </row>
    <row r="71" spans="1:10">
      <c r="A71" s="102" t="s">
        <v>181</v>
      </c>
      <c r="B71" s="103">
        <v>36.923249620163688</v>
      </c>
      <c r="C71" s="58">
        <v>32.27617</v>
      </c>
      <c r="D71" s="100">
        <f t="shared" si="1"/>
        <v>69.199419620163695</v>
      </c>
      <c r="E71" s="47">
        <v>63.85</v>
      </c>
      <c r="F71" s="58">
        <v>382</v>
      </c>
      <c r="G71" s="58">
        <v>2010</v>
      </c>
      <c r="H71" s="39" t="s">
        <v>38</v>
      </c>
      <c r="I71" t="s">
        <v>92</v>
      </c>
      <c r="J71">
        <v>351141</v>
      </c>
    </row>
    <row r="72" spans="1:10">
      <c r="A72" s="102" t="s">
        <v>182</v>
      </c>
      <c r="B72" s="103">
        <v>38.218600882089035</v>
      </c>
      <c r="C72" s="58">
        <v>33.509900000000002</v>
      </c>
      <c r="D72" s="100">
        <f t="shared" si="1"/>
        <v>71.728500882089037</v>
      </c>
      <c r="E72" s="47">
        <v>63.85</v>
      </c>
      <c r="F72" s="58">
        <v>420</v>
      </c>
      <c r="G72" s="58">
        <v>2018</v>
      </c>
      <c r="H72" s="39" t="s">
        <v>38</v>
      </c>
      <c r="I72" t="s">
        <v>92</v>
      </c>
      <c r="J72">
        <v>289328</v>
      </c>
    </row>
    <row r="73" spans="1:10">
      <c r="A73" s="102" t="s">
        <v>183</v>
      </c>
      <c r="B73" s="103">
        <v>39.286891022686468</v>
      </c>
      <c r="C73" s="58">
        <v>34.648150000000001</v>
      </c>
      <c r="D73" s="100">
        <f t="shared" si="1"/>
        <v>73.935041022686477</v>
      </c>
      <c r="E73" s="47">
        <v>63.85</v>
      </c>
      <c r="F73" s="58">
        <v>511</v>
      </c>
      <c r="G73" s="58">
        <v>2000</v>
      </c>
      <c r="H73" s="39" t="s">
        <v>38</v>
      </c>
      <c r="I73" t="s">
        <v>92</v>
      </c>
      <c r="J73">
        <v>359754</v>
      </c>
    </row>
    <row r="74" spans="1:10">
      <c r="A74" s="102" t="s">
        <v>184</v>
      </c>
      <c r="B74" s="103">
        <v>39.228463326426173</v>
      </c>
      <c r="C74" s="58">
        <v>34.614809999999999</v>
      </c>
      <c r="D74" s="100">
        <f t="shared" si="1"/>
        <v>73.843273326426171</v>
      </c>
      <c r="E74" s="47">
        <v>63.85</v>
      </c>
      <c r="F74" s="58">
        <v>500</v>
      </c>
      <c r="G74" s="58">
        <v>2019</v>
      </c>
      <c r="H74" s="39" t="s">
        <v>38</v>
      </c>
      <c r="I74" t="s">
        <v>92</v>
      </c>
      <c r="J74" s="3">
        <v>383970</v>
      </c>
    </row>
    <row r="75" spans="1:10">
      <c r="A75" s="102" t="s">
        <v>185</v>
      </c>
      <c r="B75" s="103">
        <v>38.330040884899894</v>
      </c>
      <c r="C75" s="58">
        <v>33.62961</v>
      </c>
      <c r="D75" s="100">
        <f t="shared" si="1"/>
        <v>71.959650884899901</v>
      </c>
      <c r="E75" s="47">
        <v>63.85</v>
      </c>
      <c r="F75" s="58">
        <v>150</v>
      </c>
      <c r="G75" s="58">
        <v>2017</v>
      </c>
      <c r="H75" s="39" t="s">
        <v>38</v>
      </c>
      <c r="I75" t="s">
        <v>92</v>
      </c>
      <c r="J75">
        <v>297492</v>
      </c>
    </row>
    <row r="76" spans="1:10">
      <c r="A76" s="102" t="s">
        <v>186</v>
      </c>
      <c r="B76" s="103">
        <v>36.714377300843424</v>
      </c>
      <c r="C76" s="58">
        <v>32.022799999999997</v>
      </c>
      <c r="D76" s="100">
        <f t="shared" si="1"/>
        <v>68.737177300843427</v>
      </c>
      <c r="E76" s="47">
        <v>63.85</v>
      </c>
      <c r="F76" s="58">
        <v>150</v>
      </c>
      <c r="G76" s="58">
        <v>2017</v>
      </c>
      <c r="H76" s="39" t="s">
        <v>38</v>
      </c>
      <c r="I76" t="s">
        <v>92</v>
      </c>
      <c r="J76">
        <v>306229</v>
      </c>
    </row>
    <row r="77" spans="1:10">
      <c r="A77" s="102" t="s">
        <v>187</v>
      </c>
      <c r="B77" s="103">
        <v>38.737226374451204</v>
      </c>
      <c r="C77" s="58">
        <v>34.128259999999997</v>
      </c>
      <c r="D77" s="100">
        <f t="shared" si="1"/>
        <v>72.865486374451194</v>
      </c>
      <c r="E77" s="47">
        <v>63.85</v>
      </c>
      <c r="F77" s="58">
        <v>150</v>
      </c>
      <c r="G77" s="58">
        <v>2018</v>
      </c>
      <c r="H77" s="39" t="s">
        <v>38</v>
      </c>
      <c r="I77" t="s">
        <v>92</v>
      </c>
      <c r="J77">
        <v>388574</v>
      </c>
    </row>
    <row r="78" spans="1:10">
      <c r="A78" s="102" t="s">
        <v>188</v>
      </c>
      <c r="B78" s="103">
        <v>39.113237406131702</v>
      </c>
      <c r="C78" s="58">
        <v>34.520310000000002</v>
      </c>
      <c r="D78" s="100">
        <f t="shared" si="1"/>
        <v>73.633547406131697</v>
      </c>
      <c r="E78" s="47">
        <v>63.85</v>
      </c>
      <c r="F78" s="58">
        <v>150</v>
      </c>
      <c r="G78" s="58">
        <v>2019</v>
      </c>
      <c r="H78" s="39" t="s">
        <v>38</v>
      </c>
      <c r="I78" t="s">
        <v>92</v>
      </c>
      <c r="J78">
        <v>404661</v>
      </c>
    </row>
    <row r="79" spans="1:10">
      <c r="A79" s="102" t="s">
        <v>189</v>
      </c>
      <c r="B79" s="103">
        <v>36.932214603102324</v>
      </c>
      <c r="C79" s="58">
        <v>32.354860000000002</v>
      </c>
      <c r="D79" s="100">
        <f t="shared" si="1"/>
        <v>69.287074603102326</v>
      </c>
      <c r="E79" s="47">
        <v>63.85</v>
      </c>
      <c r="F79" s="58">
        <v>150</v>
      </c>
      <c r="G79" s="58">
        <v>2016</v>
      </c>
      <c r="H79" s="39" t="s">
        <v>38</v>
      </c>
      <c r="I79" t="s">
        <v>92</v>
      </c>
      <c r="J79">
        <v>420367</v>
      </c>
    </row>
    <row r="80" spans="1:10">
      <c r="A80" s="102" t="s">
        <v>190</v>
      </c>
      <c r="B80" s="103">
        <v>38.118649579873328</v>
      </c>
      <c r="C80" s="58">
        <v>33.419879999999999</v>
      </c>
      <c r="D80" s="100">
        <f t="shared" si="1"/>
        <v>71.538529579873327</v>
      </c>
      <c r="E80" s="47">
        <v>63.85</v>
      </c>
      <c r="F80" s="58">
        <v>150</v>
      </c>
      <c r="G80" s="58">
        <v>2010</v>
      </c>
      <c r="H80" s="39" t="s">
        <v>38</v>
      </c>
      <c r="I80" t="s">
        <v>92</v>
      </c>
      <c r="J80">
        <v>299719</v>
      </c>
    </row>
    <row r="81" spans="1:10">
      <c r="A81" s="102" t="s">
        <v>191</v>
      </c>
      <c r="B81" s="103">
        <v>38.916942035530695</v>
      </c>
      <c r="C81" s="58">
        <v>34.271479999999997</v>
      </c>
      <c r="D81" s="100">
        <f t="shared" si="1"/>
        <v>73.188422035530692</v>
      </c>
      <c r="E81" s="47">
        <v>63.85</v>
      </c>
      <c r="F81" s="58">
        <v>135</v>
      </c>
      <c r="G81" s="58">
        <v>2015</v>
      </c>
      <c r="H81" s="39" t="s">
        <v>38</v>
      </c>
      <c r="I81" t="s">
        <v>92</v>
      </c>
      <c r="J81">
        <v>352476</v>
      </c>
    </row>
    <row r="82" spans="1:10">
      <c r="A82" s="102" t="s">
        <v>192</v>
      </c>
      <c r="B82" s="103">
        <v>38.919339429125664</v>
      </c>
      <c r="C82" s="58">
        <v>34.277340000000002</v>
      </c>
      <c r="D82" s="100">
        <f t="shared" si="1"/>
        <v>73.196679429125666</v>
      </c>
      <c r="E82" s="47">
        <v>63.85</v>
      </c>
      <c r="F82" s="58">
        <v>135</v>
      </c>
      <c r="G82" s="58">
        <v>2016</v>
      </c>
      <c r="H82" s="39" t="s">
        <v>38</v>
      </c>
      <c r="I82" t="s">
        <v>92</v>
      </c>
      <c r="J82">
        <v>355899</v>
      </c>
    </row>
    <row r="83" spans="1:10">
      <c r="A83" s="102" t="s">
        <v>193</v>
      </c>
      <c r="B83" s="103">
        <v>39.012227043578136</v>
      </c>
      <c r="C83" s="58">
        <v>34.38897</v>
      </c>
      <c r="D83" s="100">
        <f t="shared" si="1"/>
        <v>73.401197043578136</v>
      </c>
      <c r="E83" s="47">
        <v>63.85</v>
      </c>
      <c r="F83" s="58">
        <v>647</v>
      </c>
      <c r="G83" s="58">
        <v>1999</v>
      </c>
      <c r="H83" s="39" t="s">
        <v>38</v>
      </c>
      <c r="I83" t="s">
        <v>92</v>
      </c>
      <c r="J83">
        <v>374333</v>
      </c>
    </row>
    <row r="84" spans="1:10">
      <c r="A84" s="102" t="s">
        <v>194</v>
      </c>
      <c r="B84" s="103">
        <v>39.135852925450287</v>
      </c>
      <c r="C84" s="58">
        <v>34.432369999999999</v>
      </c>
      <c r="D84" s="100">
        <f t="shared" si="1"/>
        <v>73.568222925450286</v>
      </c>
      <c r="E84" s="47">
        <v>63.85</v>
      </c>
      <c r="F84" s="58">
        <v>647</v>
      </c>
      <c r="G84" s="58">
        <v>2010</v>
      </c>
      <c r="H84" s="39" t="s">
        <v>38</v>
      </c>
      <c r="I84" t="s">
        <v>92</v>
      </c>
      <c r="J84">
        <v>295182</v>
      </c>
    </row>
    <row r="85" spans="1:10">
      <c r="A85" s="102" t="s">
        <v>195</v>
      </c>
      <c r="B85" s="103">
        <v>37.223089912593011</v>
      </c>
      <c r="C85" s="58">
        <v>32.634650000000001</v>
      </c>
      <c r="D85" s="100">
        <f t="shared" si="1"/>
        <v>69.857739912593019</v>
      </c>
      <c r="E85" s="47">
        <v>63.85</v>
      </c>
      <c r="F85" s="58">
        <v>30</v>
      </c>
      <c r="G85" s="58">
        <v>1998</v>
      </c>
      <c r="H85" s="39" t="s">
        <v>38</v>
      </c>
      <c r="I85" t="s">
        <v>92</v>
      </c>
      <c r="J85">
        <v>409052</v>
      </c>
    </row>
    <row r="86" spans="1:10">
      <c r="A86" s="102" t="s">
        <v>196</v>
      </c>
      <c r="B86" s="103">
        <v>39.162446553785081</v>
      </c>
      <c r="C86" s="58">
        <v>34.515729999999998</v>
      </c>
      <c r="D86" s="100">
        <f t="shared" si="1"/>
        <v>73.678176553785079</v>
      </c>
      <c r="E86" s="47">
        <v>63.85</v>
      </c>
      <c r="F86" s="58">
        <v>140</v>
      </c>
      <c r="G86" s="58">
        <v>2014</v>
      </c>
      <c r="H86" s="39" t="s">
        <v>38</v>
      </c>
      <c r="I86" t="s">
        <v>92</v>
      </c>
      <c r="J86">
        <v>351126</v>
      </c>
    </row>
    <row r="87" spans="1:10">
      <c r="A87" s="102" t="s">
        <v>197</v>
      </c>
      <c r="B87" s="103">
        <v>36.969736719409212</v>
      </c>
      <c r="C87" s="58">
        <v>32.28763</v>
      </c>
      <c r="D87" s="100">
        <f t="shared" si="1"/>
        <v>69.25736671940922</v>
      </c>
      <c r="E87" s="47">
        <v>63.85</v>
      </c>
      <c r="F87" s="58">
        <v>83.7</v>
      </c>
      <c r="G87" s="58">
        <v>2010</v>
      </c>
      <c r="H87" s="39" t="s">
        <v>38</v>
      </c>
      <c r="I87" t="s">
        <v>92</v>
      </c>
      <c r="J87">
        <v>316131</v>
      </c>
    </row>
    <row r="88" spans="1:10">
      <c r="A88" s="102" t="s">
        <v>198</v>
      </c>
      <c r="B88" s="103">
        <v>38.071026995987253</v>
      </c>
      <c r="C88" s="58">
        <v>33.512059999999998</v>
      </c>
      <c r="D88" s="100">
        <f t="shared" si="1"/>
        <v>71.583086995987259</v>
      </c>
      <c r="E88" s="47">
        <v>63.85</v>
      </c>
      <c r="F88" s="58">
        <v>83.7</v>
      </c>
      <c r="G88" s="58">
        <v>2010</v>
      </c>
      <c r="H88" s="39" t="s">
        <v>38</v>
      </c>
      <c r="I88" t="s">
        <v>92</v>
      </c>
      <c r="J88">
        <v>438614</v>
      </c>
    </row>
    <row r="89" spans="1:10">
      <c r="A89" s="102" t="s">
        <v>199</v>
      </c>
      <c r="B89" s="103">
        <v>40.336138327503996</v>
      </c>
      <c r="C89" s="58">
        <v>35.632019999999997</v>
      </c>
      <c r="D89" s="100">
        <f t="shared" si="1"/>
        <v>75.968158327504</v>
      </c>
      <c r="E89" s="47">
        <v>63.85</v>
      </c>
      <c r="F89" s="58">
        <v>83.7</v>
      </c>
      <c r="G89" s="58">
        <v>2011</v>
      </c>
      <c r="H89" s="39" t="s">
        <v>38</v>
      </c>
      <c r="I89" t="s">
        <v>92</v>
      </c>
      <c r="J89">
        <v>294235</v>
      </c>
    </row>
    <row r="90" spans="1:10">
      <c r="A90" s="102" t="s">
        <v>200</v>
      </c>
      <c r="B90" s="103">
        <v>37.633887958536107</v>
      </c>
      <c r="C90" s="58">
        <v>32.978549999999998</v>
      </c>
      <c r="D90" s="100">
        <f t="shared" si="1"/>
        <v>70.612437958536105</v>
      </c>
      <c r="E90" s="47">
        <v>63.85</v>
      </c>
      <c r="F90" s="58">
        <v>103</v>
      </c>
      <c r="G90" s="58">
        <v>2010</v>
      </c>
      <c r="H90" s="39" t="s">
        <v>38</v>
      </c>
      <c r="I90" t="s">
        <v>92</v>
      </c>
      <c r="J90">
        <v>342088</v>
      </c>
    </row>
    <row r="91" spans="1:10">
      <c r="A91" s="102" t="s">
        <v>201</v>
      </c>
      <c r="B91" s="103">
        <v>40.223700090748245</v>
      </c>
      <c r="C91" s="58">
        <v>35.476489999999998</v>
      </c>
      <c r="D91" s="100">
        <f t="shared" si="1"/>
        <v>75.700190090748237</v>
      </c>
      <c r="E91" s="47">
        <v>63.85</v>
      </c>
      <c r="F91" s="58">
        <v>103</v>
      </c>
      <c r="G91" s="58">
        <v>2011</v>
      </c>
      <c r="H91" s="39" t="s">
        <v>38</v>
      </c>
      <c r="I91" t="s">
        <v>92</v>
      </c>
      <c r="J91">
        <v>250833</v>
      </c>
    </row>
    <row r="92" spans="1:10">
      <c r="A92" s="102" t="s">
        <v>202</v>
      </c>
      <c r="B92" s="103">
        <v>39.912327803652467</v>
      </c>
      <c r="C92" s="58">
        <v>35.292920000000002</v>
      </c>
      <c r="D92" s="100">
        <f t="shared" si="1"/>
        <v>75.205247803652469</v>
      </c>
      <c r="E92" s="47">
        <v>63.85</v>
      </c>
      <c r="F92" s="58">
        <v>83.7</v>
      </c>
      <c r="G92" s="58">
        <v>2010</v>
      </c>
      <c r="H92" s="39" t="s">
        <v>38</v>
      </c>
      <c r="I92" t="s">
        <v>92</v>
      </c>
      <c r="J92">
        <v>378554</v>
      </c>
    </row>
    <row r="93" spans="1:10">
      <c r="A93" s="102" t="s">
        <v>203</v>
      </c>
      <c r="B93" s="103">
        <v>38.642547053804385</v>
      </c>
      <c r="C93" s="58">
        <v>33.92483</v>
      </c>
      <c r="D93" s="100">
        <f t="shared" si="1"/>
        <v>72.567377053804393</v>
      </c>
      <c r="E93" s="47">
        <v>63.85</v>
      </c>
      <c r="F93" s="58">
        <v>83.7</v>
      </c>
      <c r="G93" s="58">
        <v>2011</v>
      </c>
      <c r="H93" s="39" t="s">
        <v>38</v>
      </c>
      <c r="I93" t="s">
        <v>92</v>
      </c>
      <c r="J93">
        <v>280664</v>
      </c>
    </row>
    <row r="94" spans="1:10">
      <c r="A94" s="102" t="s">
        <v>204</v>
      </c>
      <c r="B94" s="103">
        <v>40.25089353492254</v>
      </c>
      <c r="C94" s="58">
        <v>35.60371</v>
      </c>
      <c r="D94" s="100">
        <f t="shared" si="1"/>
        <v>75.854603534922546</v>
      </c>
      <c r="E94" s="47">
        <v>63.85</v>
      </c>
      <c r="F94" s="58">
        <v>150</v>
      </c>
      <c r="G94" s="58">
        <v>2016</v>
      </c>
      <c r="H94" s="39" t="s">
        <v>38</v>
      </c>
      <c r="I94" t="s">
        <v>92</v>
      </c>
      <c r="J94">
        <v>350771</v>
      </c>
    </row>
    <row r="95" spans="1:10">
      <c r="A95" s="102" t="s">
        <v>205</v>
      </c>
      <c r="B95" s="103">
        <v>40.887191601130681</v>
      </c>
      <c r="C95" s="58">
        <v>36.205019999999998</v>
      </c>
      <c r="D95" s="100">
        <f t="shared" si="1"/>
        <v>77.092211601130685</v>
      </c>
      <c r="E95" s="47">
        <v>63.85</v>
      </c>
      <c r="F95" s="58">
        <v>135</v>
      </c>
      <c r="G95" s="58">
        <v>2016</v>
      </c>
      <c r="H95" s="39" t="s">
        <v>38</v>
      </c>
      <c r="I95" t="s">
        <v>92</v>
      </c>
      <c r="J95">
        <v>316166</v>
      </c>
    </row>
    <row r="96" spans="1:10">
      <c r="A96" s="102" t="s">
        <v>206</v>
      </c>
      <c r="B96" s="103">
        <v>36.978676938698662</v>
      </c>
      <c r="C96" s="58">
        <v>32.398690000000002</v>
      </c>
      <c r="D96" s="100">
        <f t="shared" si="1"/>
        <v>69.377366938698657</v>
      </c>
      <c r="E96" s="47">
        <v>63.85</v>
      </c>
      <c r="F96" s="58">
        <v>26.3</v>
      </c>
      <c r="G96" s="58">
        <v>1982</v>
      </c>
      <c r="H96" s="39" t="s">
        <v>38</v>
      </c>
      <c r="I96" t="s">
        <v>92</v>
      </c>
      <c r="J96">
        <v>417455</v>
      </c>
    </row>
    <row r="97" spans="1:10">
      <c r="A97" s="102" t="s">
        <v>207</v>
      </c>
      <c r="B97" s="103">
        <v>39.30429639104289</v>
      </c>
      <c r="C97" s="58">
        <v>34.683579999999999</v>
      </c>
      <c r="D97" s="100">
        <f t="shared" si="1"/>
        <v>73.987876391042889</v>
      </c>
      <c r="E97" s="47">
        <v>63.85</v>
      </c>
      <c r="F97" s="58">
        <v>40</v>
      </c>
      <c r="G97" s="58">
        <v>1983</v>
      </c>
      <c r="H97" s="39" t="s">
        <v>38</v>
      </c>
      <c r="I97" t="s">
        <v>92</v>
      </c>
      <c r="J97">
        <v>376969</v>
      </c>
    </row>
    <row r="98" spans="1:10">
      <c r="A98" s="102" t="s">
        <v>208</v>
      </c>
      <c r="B98" s="103">
        <v>40.627450327857019</v>
      </c>
      <c r="C98" s="58">
        <v>35.945900000000002</v>
      </c>
      <c r="D98" s="100">
        <f t="shared" si="1"/>
        <v>76.573350327857014</v>
      </c>
      <c r="E98" s="47">
        <v>63.85</v>
      </c>
      <c r="F98" s="58">
        <v>83.7</v>
      </c>
      <c r="G98" s="58">
        <v>2015</v>
      </c>
      <c r="H98" s="39" t="s">
        <v>38</v>
      </c>
      <c r="I98" t="s">
        <v>92</v>
      </c>
      <c r="J98">
        <v>316238</v>
      </c>
    </row>
    <row r="99" spans="1:10">
      <c r="A99" s="102" t="s">
        <v>209</v>
      </c>
      <c r="B99" s="103">
        <v>40.96662075803421</v>
      </c>
      <c r="C99" s="58">
        <v>36.220910000000003</v>
      </c>
      <c r="D99" s="100">
        <f t="shared" si="1"/>
        <v>77.187530758034214</v>
      </c>
      <c r="E99" s="47">
        <v>63.85</v>
      </c>
      <c r="F99" s="58">
        <v>170</v>
      </c>
      <c r="G99" s="58">
        <v>2019</v>
      </c>
      <c r="H99" s="39" t="s">
        <v>38</v>
      </c>
      <c r="I99" t="s">
        <v>92</v>
      </c>
      <c r="J99">
        <v>252996</v>
      </c>
    </row>
    <row r="100" spans="1:10">
      <c r="A100" s="102" t="s">
        <v>210</v>
      </c>
      <c r="B100" s="103">
        <v>39.889364424374527</v>
      </c>
      <c r="C100" s="58">
        <v>35.317950000000003</v>
      </c>
      <c r="D100" s="100">
        <f t="shared" si="1"/>
        <v>75.20731442437453</v>
      </c>
      <c r="E100" s="47">
        <v>63.85</v>
      </c>
      <c r="F100" s="58">
        <v>170</v>
      </c>
      <c r="G100" s="58">
        <v>2019</v>
      </c>
      <c r="H100" s="39" t="s">
        <v>38</v>
      </c>
      <c r="I100" t="s">
        <v>92</v>
      </c>
      <c r="J100">
        <v>426687</v>
      </c>
    </row>
    <row r="101" spans="1:10">
      <c r="A101" s="102" t="s">
        <v>211</v>
      </c>
      <c r="B101" s="103">
        <v>39.988689615779826</v>
      </c>
      <c r="C101" s="58">
        <v>35.265450000000001</v>
      </c>
      <c r="D101" s="100">
        <f t="shared" si="1"/>
        <v>75.25413961577982</v>
      </c>
      <c r="E101" s="47">
        <v>63.85</v>
      </c>
      <c r="F101" s="58">
        <v>135</v>
      </c>
      <c r="G101" s="58">
        <v>2016</v>
      </c>
      <c r="H101" s="39" t="s">
        <v>38</v>
      </c>
      <c r="I101" t="s">
        <v>92</v>
      </c>
      <c r="J101">
        <v>275534</v>
      </c>
    </row>
    <row r="102" spans="1:10">
      <c r="A102" s="102" t="s">
        <v>212</v>
      </c>
      <c r="B102" s="103">
        <v>40.598423484538003</v>
      </c>
      <c r="C102" s="58">
        <v>35.95993</v>
      </c>
      <c r="D102" s="100">
        <f t="shared" si="1"/>
        <v>76.558353484538003</v>
      </c>
      <c r="E102" s="47">
        <v>63.85</v>
      </c>
      <c r="F102" s="58">
        <v>135</v>
      </c>
      <c r="G102" s="58">
        <v>2010</v>
      </c>
      <c r="H102" s="39" t="s">
        <v>38</v>
      </c>
      <c r="I102" t="s">
        <v>92</v>
      </c>
      <c r="J102">
        <v>359897</v>
      </c>
    </row>
    <row r="103" spans="1:10">
      <c r="A103" s="102" t="s">
        <v>213</v>
      </c>
      <c r="B103" s="103">
        <v>38.844492579054105</v>
      </c>
      <c r="C103" s="58">
        <v>34.20973</v>
      </c>
      <c r="D103" s="100">
        <f t="shared" si="1"/>
        <v>73.054222579054112</v>
      </c>
      <c r="E103" s="47">
        <v>63.85</v>
      </c>
      <c r="F103" s="58">
        <v>135</v>
      </c>
      <c r="G103" s="58">
        <v>2010</v>
      </c>
      <c r="H103" s="39" t="s">
        <v>38</v>
      </c>
      <c r="I103" t="s">
        <v>92</v>
      </c>
      <c r="J103">
        <v>363611</v>
      </c>
    </row>
    <row r="104" spans="1:10">
      <c r="A104" s="102" t="s">
        <v>214</v>
      </c>
      <c r="B104" s="103">
        <v>36.857184510398525</v>
      </c>
      <c r="C104" s="58">
        <v>32.264499999999998</v>
      </c>
      <c r="D104" s="100">
        <f t="shared" si="1"/>
        <v>69.121684510398524</v>
      </c>
      <c r="E104" s="47">
        <v>63.85</v>
      </c>
      <c r="F104" s="58">
        <v>116</v>
      </c>
      <c r="G104" s="58">
        <v>2006</v>
      </c>
      <c r="H104" s="39" t="s">
        <v>38</v>
      </c>
      <c r="I104" t="s">
        <v>92</v>
      </c>
      <c r="J104">
        <v>405500</v>
      </c>
    </row>
    <row r="105" spans="1:10">
      <c r="A105" s="102" t="s">
        <v>215</v>
      </c>
      <c r="B105" s="103">
        <v>38.560743109179981</v>
      </c>
      <c r="C105" s="58">
        <v>33.992019999999997</v>
      </c>
      <c r="D105" s="100">
        <f t="shared" si="1"/>
        <v>72.552763109179978</v>
      </c>
      <c r="E105" s="47">
        <v>63.85</v>
      </c>
      <c r="F105" s="58">
        <v>116</v>
      </c>
      <c r="G105" s="58">
        <v>2010</v>
      </c>
      <c r="H105" s="39" t="s">
        <v>38</v>
      </c>
      <c r="I105" t="s">
        <v>92</v>
      </c>
      <c r="J105">
        <v>429354</v>
      </c>
    </row>
    <row r="106" spans="1:10">
      <c r="A106" s="102" t="s">
        <v>216</v>
      </c>
      <c r="B106" s="103">
        <v>38.910709384094744</v>
      </c>
      <c r="C106" s="58">
        <v>34.221110000000003</v>
      </c>
      <c r="D106" s="100">
        <f t="shared" si="1"/>
        <v>73.13181938409474</v>
      </c>
      <c r="E106" s="47">
        <v>63.85</v>
      </c>
      <c r="F106" s="58">
        <v>150</v>
      </c>
      <c r="G106" s="58">
        <v>2016</v>
      </c>
      <c r="H106" s="39" t="s">
        <v>38</v>
      </c>
      <c r="I106" t="s">
        <v>92</v>
      </c>
      <c r="J106">
        <v>309016</v>
      </c>
    </row>
    <row r="107" spans="1:10">
      <c r="A107" s="102" t="s">
        <v>217</v>
      </c>
      <c r="B107" s="103">
        <v>38.603562727870724</v>
      </c>
      <c r="C107" s="58">
        <v>33.985880000000002</v>
      </c>
      <c r="D107" s="100">
        <f t="shared" si="1"/>
        <v>72.589442727870733</v>
      </c>
      <c r="E107" s="47">
        <v>63.85</v>
      </c>
      <c r="F107" s="58">
        <v>150</v>
      </c>
      <c r="G107" s="58">
        <v>2018</v>
      </c>
      <c r="H107" s="39" t="s">
        <v>38</v>
      </c>
      <c r="I107" t="s">
        <v>92</v>
      </c>
      <c r="J107">
        <v>380613</v>
      </c>
    </row>
    <row r="108" spans="1:10">
      <c r="A108" s="102" t="s">
        <v>218</v>
      </c>
      <c r="B108" s="103">
        <v>39.976509015009015</v>
      </c>
      <c r="C108" s="58">
        <v>35.325679999999998</v>
      </c>
      <c r="D108" s="100">
        <f t="shared" si="1"/>
        <v>75.30218901500902</v>
      </c>
      <c r="E108" s="47">
        <v>63.85</v>
      </c>
      <c r="F108" s="58">
        <v>150</v>
      </c>
      <c r="G108" s="58">
        <v>2015</v>
      </c>
      <c r="H108" s="39" t="s">
        <v>38</v>
      </c>
      <c r="I108" t="s">
        <v>92</v>
      </c>
      <c r="J108">
        <v>347614</v>
      </c>
    </row>
    <row r="109" spans="1:10">
      <c r="A109" s="102" t="s">
        <v>219</v>
      </c>
      <c r="B109" s="103">
        <v>37.271704269821697</v>
      </c>
      <c r="C109" s="58">
        <v>32.649340000000002</v>
      </c>
      <c r="D109" s="100">
        <f t="shared" si="1"/>
        <v>69.921044269821692</v>
      </c>
      <c r="E109" s="47">
        <v>63.85</v>
      </c>
      <c r="F109" s="58">
        <v>150</v>
      </c>
      <c r="G109" s="58">
        <v>2016</v>
      </c>
      <c r="H109" s="39" t="s">
        <v>38</v>
      </c>
      <c r="I109" t="s">
        <v>92</v>
      </c>
      <c r="J109">
        <v>375956</v>
      </c>
    </row>
    <row r="110" spans="1:10">
      <c r="A110" s="102" t="s">
        <v>220</v>
      </c>
      <c r="B110" s="103">
        <v>40.493524886343373</v>
      </c>
      <c r="C110" s="58">
        <v>35.848660000000002</v>
      </c>
      <c r="D110" s="100">
        <f t="shared" si="1"/>
        <v>76.342184886343375</v>
      </c>
      <c r="E110" s="47">
        <v>63.85</v>
      </c>
      <c r="F110" s="58">
        <v>150</v>
      </c>
      <c r="G110" s="58">
        <v>2019</v>
      </c>
      <c r="H110" s="39" t="s">
        <v>38</v>
      </c>
      <c r="I110" t="s">
        <v>92</v>
      </c>
      <c r="J110">
        <v>353560</v>
      </c>
    </row>
    <row r="111" spans="1:10">
      <c r="A111" s="102" t="s">
        <v>221</v>
      </c>
      <c r="B111" s="103">
        <v>39.264292438338273</v>
      </c>
      <c r="C111" s="58">
        <v>34.654330000000002</v>
      </c>
      <c r="D111" s="100">
        <f t="shared" si="1"/>
        <v>73.918622438338275</v>
      </c>
      <c r="E111" s="47">
        <v>63.85</v>
      </c>
      <c r="F111" s="58">
        <v>150</v>
      </c>
      <c r="G111" s="58">
        <v>2019</v>
      </c>
      <c r="H111" s="39" t="s">
        <v>38</v>
      </c>
      <c r="I111" t="s">
        <v>92</v>
      </c>
      <c r="J111">
        <v>388307</v>
      </c>
    </row>
    <row r="112" spans="1:10">
      <c r="A112" s="102" t="s">
        <v>222</v>
      </c>
      <c r="B112" s="103">
        <v>41.110220202286037</v>
      </c>
      <c r="C112" s="58">
        <v>36.538060000000002</v>
      </c>
      <c r="D112" s="100">
        <f t="shared" si="1"/>
        <v>77.648280202286031</v>
      </c>
      <c r="E112" s="47">
        <v>63.85</v>
      </c>
      <c r="F112" s="58">
        <v>150</v>
      </c>
      <c r="G112" s="58">
        <v>2019</v>
      </c>
      <c r="H112" s="39" t="s">
        <v>38</v>
      </c>
      <c r="I112" t="s">
        <v>92</v>
      </c>
      <c r="J112">
        <v>425938</v>
      </c>
    </row>
    <row r="113" spans="1:10">
      <c r="A113" s="102" t="s">
        <v>223</v>
      </c>
      <c r="B113" s="103">
        <v>38.950069640794538</v>
      </c>
      <c r="C113" s="58">
        <v>34.24042</v>
      </c>
      <c r="D113" s="100">
        <f t="shared" si="1"/>
        <v>73.190489640794539</v>
      </c>
      <c r="E113" s="47">
        <v>63.85</v>
      </c>
      <c r="F113" s="58">
        <v>150</v>
      </c>
      <c r="G113" s="58">
        <v>2020</v>
      </c>
      <c r="H113" s="39" t="s">
        <v>38</v>
      </c>
      <c r="I113" t="s">
        <v>92</v>
      </c>
      <c r="J113">
        <v>289054</v>
      </c>
    </row>
    <row r="114" spans="1:10">
      <c r="A114" s="102" t="s">
        <v>224</v>
      </c>
      <c r="B114" s="103">
        <v>40.941676308592591</v>
      </c>
      <c r="C114" s="58">
        <v>36.27881</v>
      </c>
      <c r="D114" s="100">
        <f t="shared" si="1"/>
        <v>77.220486308592598</v>
      </c>
      <c r="E114" s="47">
        <v>63.85</v>
      </c>
      <c r="F114" s="58">
        <v>55</v>
      </c>
      <c r="G114" s="58">
        <v>2017</v>
      </c>
      <c r="H114" s="39" t="s">
        <v>38</v>
      </c>
      <c r="I114" t="s">
        <v>92</v>
      </c>
      <c r="J114">
        <v>335633</v>
      </c>
    </row>
    <row r="115" spans="1:10">
      <c r="A115" s="102" t="s">
        <v>225</v>
      </c>
      <c r="B115" s="103">
        <v>39.888613094755492</v>
      </c>
      <c r="C115" s="58">
        <v>35.208390000000001</v>
      </c>
      <c r="D115" s="100">
        <f t="shared" si="1"/>
        <v>75.097003094755493</v>
      </c>
      <c r="E115" s="47">
        <v>63.85</v>
      </c>
      <c r="F115" s="58">
        <v>55</v>
      </c>
      <c r="G115" s="58">
        <v>2010</v>
      </c>
      <c r="H115" s="39" t="s">
        <v>38</v>
      </c>
      <c r="I115" t="s">
        <v>92</v>
      </c>
      <c r="J115">
        <v>318353</v>
      </c>
    </row>
    <row r="116" spans="1:10">
      <c r="A116" s="102" t="s">
        <v>226</v>
      </c>
      <c r="B116" s="103">
        <v>37.1184362479068</v>
      </c>
      <c r="C116" s="58">
        <v>32.483179999999997</v>
      </c>
      <c r="D116" s="100">
        <f t="shared" si="1"/>
        <v>69.601616247906804</v>
      </c>
      <c r="E116" s="47">
        <v>63.85</v>
      </c>
      <c r="F116" s="58">
        <v>55</v>
      </c>
      <c r="G116" s="58">
        <v>2010</v>
      </c>
      <c r="H116" s="39" t="s">
        <v>38</v>
      </c>
      <c r="I116" t="s">
        <v>92</v>
      </c>
      <c r="J116">
        <v>363124</v>
      </c>
    </row>
    <row r="117" spans="1:10">
      <c r="A117" s="102" t="s">
        <v>227</v>
      </c>
      <c r="B117" s="103">
        <v>37.459125927986896</v>
      </c>
      <c r="C117" s="58">
        <v>32.77702</v>
      </c>
      <c r="D117" s="100">
        <f t="shared" si="1"/>
        <v>70.236145927986897</v>
      </c>
      <c r="E117" s="47">
        <v>63.85</v>
      </c>
      <c r="F117" s="58">
        <v>118.5</v>
      </c>
      <c r="G117" s="58">
        <v>2016</v>
      </c>
      <c r="H117" s="39" t="s">
        <v>38</v>
      </c>
      <c r="I117" t="s">
        <v>92</v>
      </c>
      <c r="J117">
        <v>316481</v>
      </c>
    </row>
    <row r="118" spans="1:10">
      <c r="A118" s="102" t="s">
        <v>228</v>
      </c>
      <c r="B118" s="103">
        <v>39.66340954116756</v>
      </c>
      <c r="C118" s="58">
        <v>35.084000000000003</v>
      </c>
      <c r="D118" s="100">
        <f t="shared" si="1"/>
        <v>74.747409541167571</v>
      </c>
      <c r="E118" s="47">
        <v>63.85</v>
      </c>
      <c r="F118" s="58">
        <v>118.5</v>
      </c>
      <c r="G118" s="58">
        <v>2019</v>
      </c>
      <c r="H118" s="39" t="s">
        <v>38</v>
      </c>
      <c r="I118" t="s">
        <v>92</v>
      </c>
      <c r="J118">
        <v>418718</v>
      </c>
    </row>
    <row r="119" spans="1:10">
      <c r="A119" s="102" t="s">
        <v>229</v>
      </c>
      <c r="B119" s="103">
        <v>37.177623199142452</v>
      </c>
      <c r="C119" s="58">
        <v>32.520490000000002</v>
      </c>
      <c r="D119" s="100">
        <f t="shared" si="1"/>
        <v>69.698113199142455</v>
      </c>
      <c r="E119" s="47">
        <v>63.85</v>
      </c>
      <c r="F119" s="58">
        <v>25</v>
      </c>
      <c r="G119" s="58">
        <v>2020</v>
      </c>
      <c r="H119" s="39" t="s">
        <v>38</v>
      </c>
      <c r="I119" t="s">
        <v>92</v>
      </c>
      <c r="J119">
        <v>341343</v>
      </c>
    </row>
    <row r="120" spans="1:10">
      <c r="A120" s="58"/>
      <c r="B120" s="58"/>
      <c r="C120" s="58"/>
      <c r="D120" s="47"/>
      <c r="E120" s="47"/>
      <c r="F120" s="58"/>
      <c r="G120" s="58"/>
    </row>
    <row r="121" spans="1:10">
      <c r="A121" s="58"/>
      <c r="B121" s="58"/>
      <c r="C121" s="58"/>
      <c r="D121" s="47"/>
      <c r="E121" s="47"/>
      <c r="F121" s="58"/>
      <c r="G121" s="58"/>
    </row>
    <row r="122" spans="1:10">
      <c r="A122" s="58"/>
      <c r="B122" s="58"/>
      <c r="C122" s="58"/>
      <c r="D122" s="47"/>
      <c r="E122" s="47"/>
      <c r="F122" s="58"/>
      <c r="G122" s="58"/>
    </row>
    <row r="123" spans="1:10">
      <c r="A123" s="58"/>
      <c r="B123" s="58"/>
      <c r="C123" s="58"/>
      <c r="D123" s="47"/>
      <c r="E123" s="47"/>
      <c r="F123" s="58"/>
      <c r="G123" s="58"/>
    </row>
    <row r="124" spans="1:10">
      <c r="A124" s="58"/>
      <c r="B124" s="58"/>
      <c r="C124" s="58"/>
      <c r="D124" s="47"/>
      <c r="E124" s="47"/>
      <c r="F124" s="58"/>
      <c r="G124" s="58"/>
    </row>
    <row r="125" spans="1:10">
      <c r="A125" s="58"/>
      <c r="B125" s="58"/>
      <c r="C125" s="58"/>
      <c r="D125" s="47"/>
      <c r="E125" s="47"/>
      <c r="F125" s="58"/>
      <c r="G125" s="58"/>
    </row>
    <row r="126" spans="1:10">
      <c r="A126" s="58"/>
      <c r="B126" s="58"/>
      <c r="C126" s="58"/>
      <c r="D126" s="47"/>
      <c r="E126" s="47"/>
      <c r="F126" s="58"/>
      <c r="G126" s="58"/>
    </row>
    <row r="127" spans="1:10">
      <c r="A127" s="58"/>
      <c r="B127" s="58"/>
      <c r="C127" s="58"/>
      <c r="D127" s="47"/>
      <c r="E127" s="47"/>
      <c r="F127" s="58"/>
      <c r="G127" s="58"/>
    </row>
    <row r="128" spans="1:10">
      <c r="A128" s="58"/>
      <c r="B128" s="58"/>
      <c r="C128" s="58"/>
      <c r="D128" s="47"/>
      <c r="E128" s="47"/>
      <c r="F128" s="58"/>
      <c r="G128" s="58"/>
    </row>
    <row r="129" spans="1:7">
      <c r="A129" s="58"/>
      <c r="B129" s="58"/>
      <c r="C129" s="58"/>
      <c r="D129" s="47"/>
      <c r="E129" s="47"/>
      <c r="F129" s="58"/>
      <c r="G129" s="58"/>
    </row>
    <row r="130" spans="1:7">
      <c r="A130" s="58"/>
      <c r="B130" s="58"/>
      <c r="C130" s="58"/>
      <c r="D130" s="47"/>
      <c r="E130" s="47"/>
      <c r="F130" s="58"/>
      <c r="G130" s="58"/>
    </row>
    <row r="131" spans="1:7">
      <c r="A131" s="58"/>
      <c r="B131" s="58"/>
      <c r="C131" s="58"/>
      <c r="D131" s="47"/>
      <c r="E131" s="47"/>
      <c r="F131" s="58"/>
      <c r="G131" s="58"/>
    </row>
    <row r="132" spans="1:7">
      <c r="A132" s="58"/>
      <c r="B132" s="58"/>
      <c r="C132" s="58"/>
      <c r="D132" s="47"/>
      <c r="E132" s="47"/>
      <c r="F132" s="58"/>
      <c r="G132" s="58"/>
    </row>
    <row r="133" spans="1:7">
      <c r="A133" s="58"/>
      <c r="B133" s="58"/>
      <c r="C133" s="58"/>
      <c r="D133" s="47"/>
      <c r="E133" s="47"/>
      <c r="F133" s="58"/>
      <c r="G133" s="58"/>
    </row>
    <row r="134" spans="1:7">
      <c r="A134" s="58"/>
      <c r="B134" s="58"/>
      <c r="C134" s="58"/>
      <c r="D134" s="47"/>
      <c r="E134" s="47"/>
      <c r="F134" s="58"/>
      <c r="G134" s="58"/>
    </row>
    <row r="135" spans="1:7">
      <c r="A135" s="58"/>
      <c r="B135" s="58"/>
      <c r="C135" s="58"/>
      <c r="D135" s="47"/>
      <c r="E135" s="47"/>
      <c r="F135" s="58"/>
      <c r="G135" s="58"/>
    </row>
    <row r="136" spans="1:7">
      <c r="A136" s="58"/>
      <c r="B136" s="58"/>
      <c r="C136" s="58"/>
      <c r="D136" s="47"/>
      <c r="E136" s="47"/>
      <c r="F136" s="58"/>
      <c r="G136" s="58"/>
    </row>
    <row r="137" spans="1:7">
      <c r="A137" s="58"/>
      <c r="B137" s="58"/>
      <c r="C137" s="58"/>
      <c r="D137" s="47"/>
      <c r="E137" s="47"/>
      <c r="F137" s="58"/>
      <c r="G137" s="58"/>
    </row>
    <row r="138" spans="1:7">
      <c r="A138" s="58"/>
      <c r="B138" s="58"/>
      <c r="C138" s="58"/>
      <c r="D138" s="47"/>
      <c r="E138" s="47"/>
      <c r="F138" s="58"/>
      <c r="G138" s="58"/>
    </row>
    <row r="139" spans="1:7">
      <c r="A139" s="58"/>
      <c r="B139" s="58"/>
      <c r="C139" s="58"/>
      <c r="D139" s="47"/>
      <c r="E139" s="47"/>
      <c r="F139" s="58"/>
      <c r="G139" s="58"/>
    </row>
    <row r="140" spans="1:7">
      <c r="A140" s="58"/>
      <c r="B140" s="58"/>
      <c r="C140" s="58"/>
      <c r="D140" s="47"/>
      <c r="E140" s="47"/>
      <c r="F140" s="58"/>
      <c r="G140" s="58"/>
    </row>
    <row r="141" spans="1:7">
      <c r="A141" s="58"/>
      <c r="B141" s="58"/>
      <c r="C141" s="58"/>
      <c r="D141" s="47"/>
      <c r="E141" s="47"/>
      <c r="F141" s="58"/>
      <c r="G141" s="58"/>
    </row>
    <row r="142" spans="1:7">
      <c r="A142" s="58"/>
      <c r="B142" s="58"/>
      <c r="C142" s="58"/>
      <c r="D142" s="47"/>
      <c r="E142" s="47"/>
      <c r="F142" s="58"/>
      <c r="G142" s="58"/>
    </row>
    <row r="143" spans="1:7">
      <c r="A143" s="58"/>
      <c r="B143" s="58"/>
      <c r="C143" s="58"/>
      <c r="D143" s="47"/>
      <c r="E143" s="47"/>
      <c r="F143" s="58"/>
      <c r="G143" s="58"/>
    </row>
    <row r="144" spans="1:7">
      <c r="A144" s="58"/>
      <c r="B144" s="58"/>
      <c r="C144" s="58"/>
      <c r="D144" s="47"/>
      <c r="E144" s="47"/>
      <c r="F144" s="58"/>
      <c r="G144" s="58"/>
    </row>
    <row r="145" spans="1:7">
      <c r="A145" s="58"/>
      <c r="B145" s="58"/>
      <c r="C145" s="58"/>
      <c r="D145" s="47"/>
      <c r="E145" s="47"/>
      <c r="F145" s="58"/>
      <c r="G145" s="58"/>
    </row>
    <row r="146" spans="1:7">
      <c r="A146" s="58"/>
      <c r="B146" s="58"/>
      <c r="C146" s="58"/>
      <c r="D146" s="47"/>
      <c r="E146" s="47"/>
      <c r="F146" s="58"/>
      <c r="G146" s="58"/>
    </row>
    <row r="147" spans="1:7">
      <c r="A147" s="58"/>
      <c r="B147" s="58"/>
      <c r="C147" s="58"/>
      <c r="D147" s="47"/>
      <c r="E147" s="47"/>
      <c r="F147" s="58"/>
      <c r="G147" s="58"/>
    </row>
    <row r="148" spans="1:7">
      <c r="A148" s="58"/>
      <c r="B148" s="58"/>
      <c r="C148" s="58"/>
      <c r="D148" s="47"/>
      <c r="E148" s="47"/>
      <c r="F148" s="58"/>
      <c r="G148" s="58"/>
    </row>
    <row r="149" spans="1:7">
      <c r="A149" s="58"/>
      <c r="B149" s="58"/>
      <c r="C149" s="58"/>
      <c r="D149" s="47"/>
      <c r="E149" s="47"/>
      <c r="F149" s="58"/>
      <c r="G149" s="58"/>
    </row>
    <row r="150" spans="1:7">
      <c r="A150" s="58"/>
      <c r="B150" s="58"/>
      <c r="C150" s="58"/>
      <c r="D150" s="47"/>
      <c r="E150" s="47"/>
      <c r="F150" s="58"/>
      <c r="G150" s="58"/>
    </row>
    <row r="151" spans="1:7">
      <c r="A151" s="58"/>
      <c r="B151" s="58"/>
      <c r="C151" s="58"/>
      <c r="D151" s="47"/>
      <c r="E151" s="47"/>
      <c r="F151" s="58"/>
      <c r="G151" s="58"/>
    </row>
    <row r="152" spans="1:7">
      <c r="A152" s="58"/>
      <c r="B152" s="58"/>
      <c r="C152" s="58"/>
      <c r="D152" s="47"/>
      <c r="E152" s="47"/>
      <c r="F152" s="58"/>
      <c r="G152" s="58"/>
    </row>
    <row r="153" spans="1:7">
      <c r="A153" s="58"/>
      <c r="B153" s="58"/>
      <c r="C153" s="58"/>
      <c r="D153" s="47"/>
      <c r="E153" s="47"/>
      <c r="F153" s="58"/>
      <c r="G153" s="58"/>
    </row>
    <row r="154" spans="1:7">
      <c r="A154" s="58"/>
      <c r="B154" s="58"/>
      <c r="C154" s="58"/>
      <c r="D154" s="47"/>
      <c r="E154" s="47"/>
      <c r="F154" s="58"/>
      <c r="G154" s="58"/>
    </row>
    <row r="155" spans="1:7">
      <c r="A155" s="58"/>
      <c r="B155" s="58"/>
      <c r="C155" s="58"/>
      <c r="D155" s="47"/>
      <c r="E155" s="47"/>
      <c r="F155" s="58"/>
      <c r="G155" s="58"/>
    </row>
    <row r="156" spans="1:7">
      <c r="A156" s="58"/>
      <c r="B156" s="58"/>
      <c r="C156" s="58"/>
      <c r="D156" s="47"/>
      <c r="E156" s="47"/>
      <c r="F156" s="58"/>
      <c r="G156" s="58"/>
    </row>
    <row r="157" spans="1:7">
      <c r="A157" s="58"/>
      <c r="B157" s="58"/>
      <c r="C157" s="58"/>
      <c r="D157" s="47"/>
      <c r="E157" s="47"/>
      <c r="F157" s="58"/>
      <c r="G157" s="58"/>
    </row>
    <row r="158" spans="1:7">
      <c r="A158" s="58"/>
      <c r="B158" s="58"/>
      <c r="C158" s="58"/>
      <c r="D158" s="47"/>
      <c r="E158" s="47"/>
      <c r="F158" s="58"/>
      <c r="G158" s="58"/>
    </row>
    <row r="159" spans="1:7">
      <c r="A159" s="58"/>
      <c r="B159" s="58"/>
      <c r="C159" s="58"/>
      <c r="D159" s="47"/>
      <c r="E159" s="47"/>
      <c r="F159" s="58"/>
      <c r="G159" s="58"/>
    </row>
    <row r="160" spans="1:7">
      <c r="A160" s="58"/>
      <c r="B160" s="58"/>
      <c r="C160" s="58"/>
      <c r="D160" s="47"/>
      <c r="E160" s="47"/>
      <c r="F160" s="58"/>
      <c r="G160" s="58"/>
    </row>
    <row r="161" spans="1:7">
      <c r="A161" s="58"/>
      <c r="B161" s="58"/>
      <c r="C161" s="58"/>
      <c r="D161" s="47"/>
      <c r="E161" s="47"/>
      <c r="F161" s="58"/>
      <c r="G161" s="58"/>
    </row>
    <row r="162" spans="1:7">
      <c r="A162" s="58"/>
      <c r="B162" s="58"/>
      <c r="C162" s="58"/>
      <c r="D162" s="47"/>
      <c r="E162" s="47"/>
      <c r="F162" s="58"/>
      <c r="G162" s="58"/>
    </row>
    <row r="163" spans="1:7">
      <c r="A163" s="58"/>
      <c r="B163" s="58"/>
      <c r="C163" s="58"/>
      <c r="D163" s="47"/>
      <c r="E163" s="47"/>
      <c r="F163" s="58"/>
      <c r="G163" s="58"/>
    </row>
    <row r="164" spans="1:7">
      <c r="A164" s="58"/>
      <c r="B164" s="58"/>
      <c r="C164" s="58"/>
      <c r="D164" s="47"/>
      <c r="E164" s="47"/>
      <c r="F164" s="58"/>
      <c r="G164" s="58"/>
    </row>
    <row r="165" spans="1:7">
      <c r="A165" s="58"/>
      <c r="B165" s="58"/>
      <c r="C165" s="58"/>
      <c r="D165" s="47"/>
      <c r="E165" s="47"/>
      <c r="F165" s="58"/>
      <c r="G165" s="58"/>
    </row>
    <row r="166" spans="1:7">
      <c r="A166" s="58"/>
      <c r="B166" s="58"/>
      <c r="C166" s="58"/>
      <c r="D166" s="47"/>
      <c r="E166" s="47"/>
      <c r="F166" s="58"/>
      <c r="G166" s="58"/>
    </row>
    <row r="167" spans="1:7">
      <c r="A167" s="58"/>
      <c r="B167" s="58"/>
      <c r="C167" s="58"/>
      <c r="D167" s="47"/>
      <c r="E167" s="47"/>
      <c r="F167" s="58"/>
      <c r="G167" s="58"/>
    </row>
    <row r="168" spans="1:7">
      <c r="A168" s="58"/>
      <c r="B168" s="58"/>
      <c r="C168" s="58"/>
      <c r="D168" s="47"/>
      <c r="E168" s="47"/>
      <c r="F168" s="58"/>
      <c r="G168" s="58"/>
    </row>
    <row r="169" spans="1:7">
      <c r="A169" s="58"/>
      <c r="B169" s="58"/>
      <c r="C169" s="58"/>
      <c r="D169" s="47"/>
      <c r="E169" s="47"/>
      <c r="F169" s="58"/>
      <c r="G169" s="58"/>
    </row>
    <row r="170" spans="1:7">
      <c r="A170" s="58"/>
      <c r="B170" s="58"/>
      <c r="C170" s="58"/>
      <c r="D170" s="47"/>
      <c r="E170" s="47"/>
      <c r="F170" s="58"/>
      <c r="G170" s="58"/>
    </row>
    <row r="171" spans="1:7">
      <c r="A171" s="58"/>
      <c r="B171" s="58"/>
      <c r="C171" s="58"/>
      <c r="D171" s="47"/>
      <c r="E171" s="47"/>
      <c r="F171" s="58"/>
      <c r="G171" s="58"/>
    </row>
    <row r="172" spans="1:7">
      <c r="A172" s="58"/>
      <c r="B172" s="58"/>
      <c r="C172" s="58"/>
      <c r="D172" s="47"/>
      <c r="E172" s="47"/>
      <c r="F172" s="58"/>
      <c r="G172" s="58"/>
    </row>
    <row r="173" spans="1:7">
      <c r="A173" s="58"/>
      <c r="B173" s="58"/>
      <c r="C173" s="58"/>
      <c r="D173" s="47"/>
      <c r="E173" s="47"/>
      <c r="F173" s="58"/>
      <c r="G173" s="58"/>
    </row>
    <row r="174" spans="1:7">
      <c r="A174" s="58"/>
      <c r="B174" s="58"/>
      <c r="C174" s="58"/>
      <c r="D174" s="47"/>
      <c r="E174" s="47"/>
      <c r="F174" s="58"/>
      <c r="G174" s="58"/>
    </row>
    <row r="175" spans="1:7">
      <c r="A175" s="58"/>
      <c r="B175" s="58"/>
      <c r="C175" s="58"/>
      <c r="D175" s="47"/>
      <c r="E175" s="47"/>
      <c r="F175" s="58"/>
      <c r="G175" s="58"/>
    </row>
    <row r="176" spans="1:7">
      <c r="A176" s="58"/>
      <c r="B176" s="58"/>
      <c r="C176" s="58"/>
      <c r="D176" s="47"/>
      <c r="E176" s="47"/>
      <c r="F176" s="58"/>
      <c r="G176" s="58"/>
    </row>
    <row r="177" spans="1:7">
      <c r="A177" s="58"/>
      <c r="B177" s="58"/>
      <c r="C177" s="58"/>
      <c r="D177" s="47"/>
      <c r="E177" s="47"/>
      <c r="F177" s="58"/>
      <c r="G177" s="58"/>
    </row>
    <row r="178" spans="1:7">
      <c r="A178" s="58"/>
      <c r="B178" s="58"/>
      <c r="C178" s="58"/>
      <c r="D178" s="47"/>
      <c r="E178" s="47"/>
      <c r="F178" s="58"/>
      <c r="G178" s="58"/>
    </row>
    <row r="179" spans="1:7">
      <c r="A179" s="58"/>
      <c r="B179" s="58"/>
      <c r="C179" s="58"/>
      <c r="D179" s="47"/>
      <c r="E179" s="47"/>
      <c r="F179" s="58"/>
      <c r="G179" s="58"/>
    </row>
    <row r="180" spans="1:7">
      <c r="A180" s="58"/>
      <c r="B180" s="58"/>
      <c r="C180" s="58"/>
      <c r="D180" s="47"/>
      <c r="E180" s="47"/>
      <c r="F180" s="58"/>
      <c r="G180" s="58"/>
    </row>
    <row r="181" spans="1:7">
      <c r="A181" s="58"/>
      <c r="B181" s="58"/>
      <c r="C181" s="58"/>
      <c r="D181" s="47"/>
      <c r="E181" s="47"/>
      <c r="F181" s="58"/>
      <c r="G181" s="58"/>
    </row>
    <row r="182" spans="1:7">
      <c r="A182" s="58"/>
      <c r="B182" s="58"/>
      <c r="C182" s="58"/>
      <c r="D182" s="47"/>
      <c r="E182" s="47"/>
      <c r="F182" s="58"/>
      <c r="G182" s="58"/>
    </row>
    <row r="183" spans="1:7">
      <c r="A183" s="58"/>
      <c r="B183" s="58"/>
      <c r="C183" s="58"/>
      <c r="D183" s="47"/>
      <c r="E183" s="47"/>
      <c r="F183" s="58"/>
      <c r="G183" s="58"/>
    </row>
    <row r="184" spans="1:7">
      <c r="A184" s="58"/>
      <c r="B184" s="58"/>
      <c r="C184" s="58"/>
      <c r="D184" s="47"/>
      <c r="E184" s="47"/>
      <c r="F184" s="58"/>
      <c r="G184" s="58"/>
    </row>
    <row r="185" spans="1:7">
      <c r="A185" s="58"/>
      <c r="B185" s="58"/>
      <c r="C185" s="58"/>
      <c r="D185" s="47"/>
      <c r="E185" s="47"/>
      <c r="F185" s="58"/>
      <c r="G185" s="58"/>
    </row>
    <row r="186" spans="1:7">
      <c r="A186" s="58"/>
      <c r="B186" s="58"/>
      <c r="C186" s="58"/>
      <c r="D186" s="47"/>
      <c r="E186" s="47"/>
      <c r="F186" s="58"/>
      <c r="G186" s="58"/>
    </row>
    <row r="187" spans="1:7">
      <c r="A187" s="58"/>
      <c r="B187" s="58"/>
      <c r="C187" s="58"/>
      <c r="D187" s="47"/>
      <c r="E187" s="47"/>
      <c r="F187" s="58"/>
      <c r="G187" s="58"/>
    </row>
    <row r="188" spans="1:7">
      <c r="A188" s="58"/>
      <c r="B188" s="58"/>
      <c r="C188" s="58"/>
      <c r="D188" s="47"/>
      <c r="E188" s="47"/>
      <c r="F188" s="58"/>
      <c r="G188" s="58"/>
    </row>
    <row r="189" spans="1:7">
      <c r="A189" s="58"/>
      <c r="B189" s="58"/>
      <c r="C189" s="58"/>
      <c r="D189" s="47"/>
      <c r="E189" s="47"/>
      <c r="F189" s="58"/>
      <c r="G189" s="58"/>
    </row>
    <row r="190" spans="1:7">
      <c r="A190" s="58"/>
      <c r="B190" s="58"/>
      <c r="C190" s="58"/>
      <c r="D190" s="47"/>
      <c r="E190" s="47"/>
      <c r="F190" s="58"/>
      <c r="G190" s="58"/>
    </row>
    <row r="191" spans="1:7">
      <c r="A191" s="58"/>
      <c r="B191" s="58"/>
      <c r="C191" s="58"/>
      <c r="D191" s="47"/>
      <c r="E191" s="47"/>
      <c r="F191" s="58"/>
      <c r="G191" s="58"/>
    </row>
    <row r="192" spans="1:7">
      <c r="A192" s="58"/>
      <c r="B192" s="58"/>
      <c r="C192" s="58"/>
      <c r="D192" s="47"/>
      <c r="E192" s="47"/>
      <c r="F192" s="58"/>
      <c r="G192" s="58"/>
    </row>
    <row r="193" spans="1:7">
      <c r="A193" s="58"/>
      <c r="B193" s="58"/>
      <c r="C193" s="58"/>
      <c r="D193" s="47"/>
      <c r="E193" s="47"/>
      <c r="F193" s="58"/>
      <c r="G193" s="58"/>
    </row>
    <row r="194" spans="1:7">
      <c r="A194" s="58"/>
      <c r="B194" s="58"/>
      <c r="C194" s="58"/>
      <c r="D194" s="47"/>
      <c r="E194" s="47"/>
      <c r="F194" s="58"/>
      <c r="G194" s="58"/>
    </row>
    <row r="195" spans="1:7">
      <c r="A195" s="58"/>
      <c r="B195" s="58"/>
      <c r="C195" s="58"/>
      <c r="D195" s="47"/>
      <c r="E195" s="47"/>
      <c r="F195" s="58"/>
      <c r="G195" s="58"/>
    </row>
    <row r="196" spans="1:7">
      <c r="A196" s="58"/>
      <c r="B196" s="58"/>
      <c r="C196" s="58"/>
      <c r="D196" s="47"/>
      <c r="E196" s="47"/>
      <c r="F196" s="58"/>
      <c r="G196" s="58"/>
    </row>
    <row r="197" spans="1:7">
      <c r="A197" s="58"/>
      <c r="B197" s="58"/>
      <c r="C197" s="58"/>
      <c r="D197" s="47"/>
      <c r="E197" s="47"/>
      <c r="F197" s="58"/>
      <c r="G197" s="58"/>
    </row>
    <row r="198" spans="1:7">
      <c r="A198" s="58"/>
      <c r="B198" s="58"/>
      <c r="C198" s="58"/>
      <c r="D198" s="47"/>
      <c r="E198" s="47"/>
      <c r="F198" s="58"/>
      <c r="G198" s="58"/>
    </row>
    <row r="199" spans="1:7">
      <c r="A199" s="58"/>
      <c r="B199" s="58"/>
      <c r="C199" s="58"/>
      <c r="D199" s="47"/>
      <c r="E199" s="47"/>
      <c r="F199" s="58"/>
      <c r="G199" s="58"/>
    </row>
    <row r="200" spans="1:7">
      <c r="A200" s="58"/>
      <c r="B200" s="58"/>
      <c r="C200" s="58"/>
      <c r="D200" s="47"/>
      <c r="E200" s="47"/>
      <c r="F200" s="58"/>
      <c r="G200" s="58"/>
    </row>
    <row r="201" spans="1:7">
      <c r="A201" s="58"/>
      <c r="B201" s="58"/>
      <c r="C201" s="58"/>
      <c r="D201" s="47"/>
      <c r="E201" s="47"/>
      <c r="F201" s="58"/>
      <c r="G201" s="58"/>
    </row>
    <row r="202" spans="1:7">
      <c r="A202" s="58"/>
      <c r="B202" s="58"/>
      <c r="C202" s="58"/>
      <c r="D202" s="47"/>
      <c r="E202" s="47"/>
      <c r="F202" s="58"/>
      <c r="G202" s="58"/>
    </row>
    <row r="203" spans="1:7">
      <c r="A203" s="58"/>
      <c r="B203" s="58"/>
      <c r="C203" s="58"/>
      <c r="D203" s="47"/>
      <c r="E203" s="47"/>
      <c r="F203" s="58"/>
      <c r="G203" s="58"/>
    </row>
    <row r="204" spans="1:7">
      <c r="A204" s="58"/>
      <c r="B204" s="58"/>
      <c r="C204" s="58"/>
      <c r="D204" s="47"/>
      <c r="E204" s="47"/>
      <c r="F204" s="58"/>
      <c r="G204" s="58"/>
    </row>
    <row r="205" spans="1:7">
      <c r="A205" s="58"/>
      <c r="B205" s="58"/>
      <c r="C205" s="58"/>
      <c r="D205" s="47"/>
      <c r="E205" s="47"/>
      <c r="F205" s="58"/>
      <c r="G205" s="58"/>
    </row>
    <row r="206" spans="1:7">
      <c r="A206" s="58"/>
      <c r="B206" s="58"/>
      <c r="C206" s="58"/>
      <c r="D206" s="47"/>
      <c r="E206" s="47"/>
      <c r="F206" s="58"/>
      <c r="G206" s="58"/>
    </row>
    <row r="207" spans="1:7">
      <c r="A207" s="58"/>
      <c r="B207" s="58"/>
      <c r="C207" s="58"/>
      <c r="D207" s="47"/>
      <c r="E207" s="47"/>
      <c r="F207" s="58"/>
      <c r="G207" s="58"/>
    </row>
    <row r="208" spans="1:7">
      <c r="A208" s="58"/>
      <c r="B208" s="58"/>
      <c r="C208" s="58"/>
      <c r="D208" s="47"/>
      <c r="E208" s="47"/>
      <c r="F208" s="58"/>
      <c r="G208" s="58"/>
    </row>
    <row r="209" spans="1:7">
      <c r="A209" s="58"/>
      <c r="B209" s="58"/>
      <c r="C209" s="58"/>
      <c r="D209" s="47"/>
      <c r="E209" s="47"/>
      <c r="F209" s="58"/>
      <c r="G209" s="58"/>
    </row>
    <row r="210" spans="1:7">
      <c r="A210" s="58"/>
      <c r="B210" s="58"/>
      <c r="C210" s="58"/>
      <c r="D210" s="47"/>
      <c r="E210" s="47"/>
      <c r="F210" s="58"/>
      <c r="G210" s="58"/>
    </row>
    <row r="211" spans="1:7">
      <c r="A211" s="58"/>
      <c r="B211" s="58"/>
      <c r="C211" s="58"/>
      <c r="D211" s="47"/>
      <c r="E211" s="47"/>
      <c r="F211" s="58"/>
      <c r="G211" s="58"/>
    </row>
    <row r="212" spans="1:7">
      <c r="A212" s="58"/>
      <c r="B212" s="58"/>
      <c r="C212" s="58"/>
      <c r="D212" s="47"/>
      <c r="E212" s="47"/>
      <c r="F212" s="58"/>
      <c r="G212" s="58"/>
    </row>
    <row r="213" spans="1:7">
      <c r="A213" s="58"/>
      <c r="B213" s="58"/>
      <c r="C213" s="58"/>
      <c r="D213" s="47"/>
      <c r="E213" s="47"/>
      <c r="F213" s="58"/>
      <c r="G213" s="58"/>
    </row>
    <row r="214" spans="1:7">
      <c r="A214" s="58"/>
      <c r="B214" s="58"/>
      <c r="C214" s="58"/>
      <c r="D214" s="47"/>
      <c r="E214" s="47"/>
      <c r="F214" s="58"/>
      <c r="G214" s="58"/>
    </row>
    <row r="215" spans="1:7">
      <c r="A215" s="58"/>
      <c r="B215" s="58"/>
      <c r="C215" s="58"/>
      <c r="D215" s="47"/>
      <c r="E215" s="47"/>
      <c r="F215" s="58"/>
      <c r="G215" s="58"/>
    </row>
    <row r="216" spans="1:7">
      <c r="A216" s="58"/>
      <c r="B216" s="58"/>
      <c r="C216" s="58"/>
      <c r="D216" s="47"/>
      <c r="E216" s="47"/>
      <c r="F216" s="58"/>
      <c r="G216" s="58"/>
    </row>
    <row r="217" spans="1:7">
      <c r="A217" s="58"/>
      <c r="B217" s="58"/>
      <c r="C217" s="58"/>
      <c r="D217" s="47"/>
      <c r="E217" s="47"/>
      <c r="F217" s="58"/>
      <c r="G217" s="58"/>
    </row>
    <row r="218" spans="1:7">
      <c r="A218" s="58"/>
      <c r="B218" s="58"/>
      <c r="C218" s="58"/>
      <c r="D218" s="47"/>
      <c r="E218" s="47"/>
      <c r="F218" s="58"/>
      <c r="G218" s="58"/>
    </row>
    <row r="219" spans="1:7">
      <c r="A219" s="58"/>
      <c r="B219" s="58"/>
      <c r="C219" s="58"/>
      <c r="D219" s="47"/>
      <c r="E219" s="47"/>
      <c r="F219" s="58"/>
      <c r="G219" s="58"/>
    </row>
    <row r="220" spans="1:7">
      <c r="A220" s="58"/>
      <c r="B220" s="58"/>
      <c r="C220" s="58"/>
      <c r="D220" s="47"/>
      <c r="E220" s="47"/>
      <c r="F220" s="58"/>
      <c r="G220" s="58"/>
    </row>
    <row r="221" spans="1:7">
      <c r="A221" s="58"/>
      <c r="B221" s="58"/>
      <c r="C221" s="58"/>
      <c r="D221" s="47"/>
      <c r="E221" s="47"/>
      <c r="F221" s="58"/>
      <c r="G221" s="58"/>
    </row>
    <row r="222" spans="1:7">
      <c r="A222" s="58"/>
      <c r="B222" s="58"/>
      <c r="C222" s="58"/>
      <c r="D222" s="47"/>
      <c r="E222" s="47"/>
      <c r="F222" s="58"/>
      <c r="G222" s="58"/>
    </row>
    <row r="223" spans="1:7">
      <c r="A223" s="58"/>
      <c r="B223" s="58"/>
      <c r="C223" s="58"/>
      <c r="D223" s="47"/>
      <c r="E223" s="47"/>
      <c r="F223" s="58"/>
      <c r="G223" s="58"/>
    </row>
    <row r="224" spans="1:7">
      <c r="A224" s="58"/>
      <c r="B224" s="58"/>
      <c r="C224" s="58"/>
      <c r="D224" s="47"/>
      <c r="E224" s="47"/>
      <c r="F224" s="58"/>
      <c r="G224" s="58"/>
    </row>
    <row r="225" spans="1:7">
      <c r="A225" s="58"/>
      <c r="B225" s="58"/>
      <c r="C225" s="58"/>
      <c r="D225" s="47"/>
      <c r="E225" s="47"/>
      <c r="F225" s="58"/>
      <c r="G225" s="58"/>
    </row>
    <row r="226" spans="1:7">
      <c r="A226" s="58"/>
      <c r="B226" s="58"/>
      <c r="C226" s="58"/>
      <c r="D226" s="47"/>
      <c r="E226" s="47"/>
      <c r="F226" s="58"/>
      <c r="G226" s="58"/>
    </row>
    <row r="227" spans="1:7">
      <c r="A227" s="58"/>
      <c r="B227" s="58"/>
      <c r="C227" s="58"/>
      <c r="D227" s="47"/>
      <c r="E227" s="47"/>
      <c r="F227" s="58"/>
      <c r="G227" s="58"/>
    </row>
    <row r="228" spans="1:7">
      <c r="A228" s="58"/>
      <c r="B228" s="58"/>
      <c r="C228" s="58"/>
      <c r="D228" s="47"/>
      <c r="E228" s="47"/>
      <c r="F228" s="58"/>
      <c r="G228" s="58"/>
    </row>
    <row r="229" spans="1:7">
      <c r="A229" s="58"/>
      <c r="B229" s="58"/>
      <c r="C229" s="58"/>
      <c r="D229" s="47"/>
      <c r="E229" s="47"/>
      <c r="F229" s="58"/>
      <c r="G229" s="58"/>
    </row>
    <row r="230" spans="1:7">
      <c r="A230" s="58"/>
      <c r="B230" s="58"/>
      <c r="C230" s="58"/>
      <c r="D230" s="47"/>
      <c r="E230" s="47"/>
      <c r="F230" s="58"/>
      <c r="G230" s="58"/>
    </row>
    <row r="231" spans="1:7">
      <c r="A231" s="58"/>
      <c r="B231" s="58"/>
      <c r="C231" s="58"/>
      <c r="D231" s="47"/>
      <c r="E231" s="47"/>
      <c r="F231" s="58"/>
      <c r="G231" s="58"/>
    </row>
    <row r="232" spans="1:7">
      <c r="A232" s="58"/>
      <c r="B232" s="58"/>
      <c r="C232" s="58"/>
      <c r="D232" s="47"/>
      <c r="E232" s="47"/>
      <c r="F232" s="58"/>
      <c r="G232" s="58"/>
    </row>
    <row r="233" spans="1:7">
      <c r="A233" s="58"/>
      <c r="B233" s="58"/>
      <c r="C233" s="58"/>
      <c r="D233" s="47"/>
      <c r="E233" s="47"/>
      <c r="F233" s="58"/>
      <c r="G233" s="58"/>
    </row>
    <row r="234" spans="1:7">
      <c r="A234" s="58"/>
      <c r="B234" s="58"/>
      <c r="C234" s="58"/>
      <c r="D234" s="47"/>
      <c r="E234" s="47"/>
      <c r="F234" s="58"/>
      <c r="G234" s="58"/>
    </row>
    <row r="235" spans="1:7">
      <c r="A235" s="58"/>
      <c r="B235" s="58"/>
      <c r="C235" s="58"/>
      <c r="D235" s="47"/>
      <c r="E235" s="47"/>
      <c r="F235" s="58"/>
      <c r="G235" s="58"/>
    </row>
    <row r="236" spans="1:7">
      <c r="A236" s="58"/>
      <c r="B236" s="58"/>
      <c r="C236" s="58"/>
      <c r="D236" s="47"/>
      <c r="E236" s="47"/>
      <c r="F236" s="58"/>
      <c r="G236" s="58"/>
    </row>
    <row r="237" spans="1:7">
      <c r="A237" s="58"/>
      <c r="B237" s="58"/>
      <c r="C237" s="58"/>
      <c r="D237" s="47"/>
      <c r="E237" s="47"/>
      <c r="F237" s="58"/>
      <c r="G237" s="58"/>
    </row>
    <row r="238" spans="1:7">
      <c r="A238" s="58"/>
      <c r="B238" s="58"/>
      <c r="C238" s="58"/>
      <c r="D238" s="47"/>
      <c r="E238" s="47"/>
      <c r="F238" s="58"/>
      <c r="G238" s="58"/>
    </row>
    <row r="239" spans="1:7">
      <c r="A239" s="58"/>
      <c r="B239" s="58"/>
      <c r="C239" s="58"/>
      <c r="D239" s="47"/>
      <c r="E239" s="47"/>
      <c r="F239" s="58"/>
      <c r="G239" s="58"/>
    </row>
    <row r="240" spans="1:7">
      <c r="A240" s="58"/>
      <c r="B240" s="58"/>
      <c r="C240" s="58"/>
      <c r="D240" s="47"/>
      <c r="E240" s="47"/>
      <c r="F240" s="58"/>
      <c r="G240" s="58"/>
    </row>
    <row r="241" spans="1:7">
      <c r="A241" s="58"/>
      <c r="B241" s="58"/>
      <c r="C241" s="58"/>
      <c r="D241" s="47"/>
      <c r="E241" s="47"/>
      <c r="F241" s="58"/>
      <c r="G241" s="58"/>
    </row>
    <row r="242" spans="1:7">
      <c r="A242" s="58"/>
      <c r="B242" s="58"/>
      <c r="C242" s="58"/>
      <c r="D242" s="47"/>
      <c r="E242" s="47"/>
      <c r="F242" s="58"/>
      <c r="G242" s="58"/>
    </row>
    <row r="243" spans="1:7">
      <c r="A243" s="58"/>
      <c r="B243" s="58"/>
      <c r="C243" s="58"/>
      <c r="D243" s="47"/>
      <c r="E243" s="47"/>
      <c r="F243" s="58"/>
      <c r="G243" s="58"/>
    </row>
    <row r="244" spans="1:7">
      <c r="A244" s="58"/>
      <c r="B244" s="58"/>
      <c r="C244" s="58"/>
      <c r="D244" s="47"/>
      <c r="E244" s="47"/>
      <c r="F244" s="58"/>
      <c r="G244" s="58"/>
    </row>
    <row r="245" spans="1:7">
      <c r="A245" s="58"/>
      <c r="B245" s="58"/>
      <c r="C245" s="58"/>
      <c r="D245" s="47"/>
      <c r="E245" s="47"/>
      <c r="F245" s="58"/>
      <c r="G245" s="58"/>
    </row>
    <row r="246" spans="1:7">
      <c r="A246" s="58"/>
      <c r="B246" s="58"/>
      <c r="C246" s="58"/>
      <c r="D246" s="47"/>
      <c r="E246" s="47"/>
      <c r="F246" s="58"/>
      <c r="G246" s="58"/>
    </row>
    <row r="247" spans="1:7">
      <c r="A247" s="58"/>
      <c r="B247" s="58"/>
      <c r="C247" s="58"/>
      <c r="D247" s="47"/>
      <c r="E247" s="47"/>
      <c r="F247" s="58"/>
      <c r="G247" s="58"/>
    </row>
    <row r="248" spans="1:7">
      <c r="A248" s="58"/>
      <c r="B248" s="58"/>
      <c r="C248" s="58"/>
      <c r="D248" s="47"/>
      <c r="E248" s="47"/>
      <c r="F248" s="58"/>
      <c r="G248" s="58"/>
    </row>
    <row r="249" spans="1:7">
      <c r="A249" s="58"/>
      <c r="B249" s="58"/>
      <c r="C249" s="58"/>
      <c r="D249" s="47"/>
      <c r="E249" s="47"/>
      <c r="F249" s="58"/>
      <c r="G249" s="58"/>
    </row>
    <row r="250" spans="1:7">
      <c r="A250" s="58"/>
      <c r="B250" s="58"/>
      <c r="C250" s="58"/>
      <c r="D250" s="47"/>
      <c r="E250" s="47"/>
      <c r="F250" s="58"/>
      <c r="G250" s="58"/>
    </row>
    <row r="251" spans="1:7">
      <c r="A251" s="58"/>
      <c r="B251" s="58"/>
      <c r="C251" s="58"/>
      <c r="D251" s="47"/>
      <c r="E251" s="47"/>
      <c r="F251" s="58"/>
      <c r="G251" s="58"/>
    </row>
    <row r="252" spans="1:7">
      <c r="A252" s="58"/>
      <c r="B252" s="58"/>
      <c r="C252" s="58"/>
      <c r="D252" s="47"/>
      <c r="E252" s="47"/>
      <c r="F252" s="58"/>
      <c r="G252" s="58"/>
    </row>
    <row r="253" spans="1:7">
      <c r="A253" s="58"/>
      <c r="B253" s="58"/>
      <c r="C253" s="58"/>
      <c r="D253" s="47"/>
      <c r="E253" s="47"/>
      <c r="F253" s="58"/>
      <c r="G253" s="58"/>
    </row>
    <row r="254" spans="1:7">
      <c r="A254" s="58"/>
      <c r="B254" s="58"/>
      <c r="C254" s="58"/>
      <c r="D254" s="47"/>
      <c r="E254" s="47"/>
      <c r="F254" s="58"/>
      <c r="G254" s="58"/>
    </row>
    <row r="255" spans="1:7">
      <c r="A255" s="58"/>
      <c r="B255" s="58"/>
      <c r="C255" s="58"/>
      <c r="D255" s="47"/>
      <c r="E255" s="47"/>
      <c r="F255" s="58"/>
      <c r="G255" s="58"/>
    </row>
    <row r="256" spans="1:7">
      <c r="A256" s="58"/>
      <c r="B256" s="58"/>
      <c r="C256" s="58"/>
      <c r="D256" s="47"/>
      <c r="E256" s="47"/>
      <c r="F256" s="58"/>
      <c r="G256" s="58"/>
    </row>
    <row r="257" spans="1:7">
      <c r="A257" s="58"/>
      <c r="B257" s="58"/>
      <c r="C257" s="58"/>
      <c r="D257" s="47"/>
      <c r="E257" s="47"/>
      <c r="F257" s="58"/>
      <c r="G257" s="58"/>
    </row>
    <row r="258" spans="1:7">
      <c r="A258" s="58"/>
      <c r="B258" s="58"/>
      <c r="C258" s="58"/>
      <c r="D258" s="47"/>
      <c r="E258" s="47"/>
      <c r="F258" s="58"/>
      <c r="G258" s="58"/>
    </row>
    <row r="259" spans="1:7">
      <c r="A259" s="58"/>
      <c r="B259" s="58"/>
      <c r="C259" s="58"/>
      <c r="D259" s="47"/>
      <c r="E259" s="47"/>
      <c r="F259" s="58"/>
      <c r="G259" s="58"/>
    </row>
    <row r="260" spans="1:7">
      <c r="A260" s="58"/>
      <c r="B260" s="58"/>
      <c r="C260" s="58"/>
      <c r="D260" s="47"/>
      <c r="E260" s="47"/>
      <c r="F260" s="58"/>
      <c r="G260" s="58"/>
    </row>
    <row r="261" spans="1:7">
      <c r="A261" s="58"/>
      <c r="B261" s="58"/>
      <c r="C261" s="58"/>
      <c r="D261" s="47"/>
      <c r="E261" s="47"/>
      <c r="F261" s="58"/>
      <c r="G261" s="58"/>
    </row>
    <row r="262" spans="1:7">
      <c r="A262" s="58"/>
      <c r="B262" s="58"/>
      <c r="C262" s="58"/>
      <c r="D262" s="47"/>
      <c r="E262" s="47"/>
      <c r="F262" s="58"/>
      <c r="G262" s="58"/>
    </row>
    <row r="263" spans="1:7">
      <c r="A263" s="58"/>
      <c r="B263" s="58"/>
      <c r="C263" s="58"/>
      <c r="D263" s="47"/>
      <c r="E263" s="47"/>
      <c r="F263" s="58"/>
      <c r="G263" s="58"/>
    </row>
    <row r="264" spans="1:7">
      <c r="A264" s="58"/>
      <c r="B264" s="58"/>
      <c r="C264" s="58"/>
      <c r="D264" s="47"/>
      <c r="E264" s="47"/>
      <c r="F264" s="58"/>
      <c r="G264" s="58"/>
    </row>
    <row r="265" spans="1:7">
      <c r="A265" s="58"/>
      <c r="B265" s="58"/>
      <c r="C265" s="58"/>
      <c r="D265" s="47"/>
      <c r="E265" s="47"/>
      <c r="F265" s="58"/>
      <c r="G265" s="58"/>
    </row>
    <row r="266" spans="1:7">
      <c r="A266" s="58"/>
      <c r="B266" s="58"/>
      <c r="C266" s="58"/>
      <c r="D266" s="47"/>
      <c r="E266" s="47"/>
      <c r="F266" s="58"/>
      <c r="G266" s="58"/>
    </row>
    <row r="267" spans="1:7">
      <c r="A267" s="58"/>
      <c r="B267" s="58"/>
      <c r="C267" s="58"/>
      <c r="D267" s="47"/>
      <c r="E267" s="47"/>
      <c r="F267" s="58"/>
      <c r="G267" s="58"/>
    </row>
    <row r="268" spans="1:7">
      <c r="A268" s="58"/>
      <c r="B268" s="58"/>
      <c r="C268" s="58"/>
      <c r="D268" s="47"/>
      <c r="E268" s="47"/>
      <c r="F268" s="58"/>
      <c r="G268" s="58"/>
    </row>
    <row r="269" spans="1:7">
      <c r="A269" s="58"/>
      <c r="B269" s="58"/>
      <c r="C269" s="58"/>
      <c r="D269" s="47"/>
      <c r="E269" s="47"/>
      <c r="F269" s="58"/>
      <c r="G269" s="58"/>
    </row>
    <row r="270" spans="1:7">
      <c r="A270" s="58"/>
      <c r="B270" s="58"/>
      <c r="C270" s="58"/>
      <c r="D270" s="47"/>
      <c r="E270" s="47"/>
      <c r="F270" s="58"/>
      <c r="G270" s="58"/>
    </row>
    <row r="271" spans="1:7">
      <c r="A271" s="58"/>
      <c r="B271" s="58"/>
      <c r="C271" s="58"/>
      <c r="D271" s="47"/>
      <c r="E271" s="47"/>
      <c r="F271" s="58"/>
      <c r="G271" s="58"/>
    </row>
    <row r="272" spans="1:7">
      <c r="A272" s="58"/>
      <c r="B272" s="58"/>
      <c r="C272" s="58"/>
      <c r="D272" s="47"/>
      <c r="E272" s="47"/>
      <c r="F272" s="58"/>
      <c r="G272" s="58"/>
    </row>
    <row r="273" spans="1:7">
      <c r="A273" s="58"/>
      <c r="B273" s="58"/>
      <c r="C273" s="58"/>
      <c r="D273" s="47"/>
      <c r="E273" s="47"/>
      <c r="F273" s="58"/>
      <c r="G273" s="58"/>
    </row>
    <row r="274" spans="1:7">
      <c r="A274" s="58"/>
      <c r="B274" s="58"/>
      <c r="C274" s="58"/>
      <c r="D274" s="47"/>
      <c r="E274" s="47"/>
      <c r="F274" s="58"/>
      <c r="G274" s="58"/>
    </row>
    <row r="275" spans="1:7">
      <c r="A275" s="58"/>
      <c r="B275" s="58"/>
      <c r="C275" s="58"/>
      <c r="D275" s="47"/>
      <c r="E275" s="47"/>
      <c r="F275" s="58"/>
      <c r="G275" s="58"/>
    </row>
    <row r="276" spans="1:7">
      <c r="A276" s="58"/>
      <c r="B276" s="58"/>
      <c r="C276" s="58"/>
      <c r="D276" s="47"/>
      <c r="E276" s="47"/>
      <c r="F276" s="58"/>
      <c r="G276" s="58"/>
    </row>
    <row r="277" spans="1:7">
      <c r="A277" s="58"/>
      <c r="B277" s="58"/>
      <c r="C277" s="58"/>
      <c r="D277" s="47"/>
      <c r="E277" s="47"/>
      <c r="F277" s="58"/>
      <c r="G277" s="58"/>
    </row>
    <row r="278" spans="1:7">
      <c r="A278" s="58"/>
      <c r="B278" s="58"/>
      <c r="C278" s="58"/>
      <c r="D278" s="47"/>
      <c r="E278" s="47"/>
      <c r="F278" s="58"/>
      <c r="G278" s="58"/>
    </row>
    <row r="279" spans="1:7">
      <c r="A279" s="58"/>
      <c r="B279" s="58"/>
      <c r="C279" s="58"/>
      <c r="D279" s="47"/>
      <c r="E279" s="47"/>
      <c r="F279" s="58"/>
      <c r="G279" s="58"/>
    </row>
    <row r="280" spans="1:7">
      <c r="A280" s="58"/>
      <c r="B280" s="58"/>
      <c r="C280" s="58"/>
      <c r="D280" s="47"/>
      <c r="E280" s="47"/>
      <c r="F280" s="58"/>
      <c r="G280" s="58"/>
    </row>
    <row r="281" spans="1:7">
      <c r="A281" s="58"/>
      <c r="B281" s="58"/>
      <c r="C281" s="58"/>
      <c r="D281" s="47"/>
      <c r="E281" s="47"/>
      <c r="F281" s="58"/>
      <c r="G281" s="58"/>
    </row>
    <row r="282" spans="1:7">
      <c r="A282" s="58"/>
      <c r="B282" s="58"/>
      <c r="C282" s="58"/>
      <c r="D282" s="47"/>
      <c r="E282" s="47"/>
      <c r="F282" s="58"/>
      <c r="G282" s="58"/>
    </row>
    <row r="283" spans="1:7">
      <c r="A283" s="58"/>
      <c r="B283" s="58"/>
      <c r="C283" s="58"/>
      <c r="D283" s="47"/>
      <c r="E283" s="47"/>
      <c r="F283" s="58"/>
      <c r="G283" s="58"/>
    </row>
    <row r="284" spans="1:7">
      <c r="A284" s="58"/>
      <c r="B284" s="58"/>
      <c r="C284" s="58"/>
      <c r="D284" s="47"/>
      <c r="E284" s="47"/>
      <c r="F284" s="58"/>
      <c r="G284" s="58"/>
    </row>
    <row r="285" spans="1:7">
      <c r="A285" s="58"/>
      <c r="B285" s="58"/>
      <c r="C285" s="58"/>
      <c r="D285" s="47"/>
      <c r="E285" s="47"/>
      <c r="F285" s="58"/>
      <c r="G285" s="58"/>
    </row>
    <row r="286" spans="1:7">
      <c r="A286" s="58"/>
      <c r="B286" s="58"/>
      <c r="C286" s="58"/>
      <c r="D286" s="47"/>
      <c r="E286" s="47"/>
      <c r="F286" s="58"/>
      <c r="G286" s="58"/>
    </row>
    <row r="287" spans="1:7">
      <c r="A287" s="58"/>
      <c r="B287" s="58"/>
      <c r="C287" s="58"/>
      <c r="D287" s="47"/>
      <c r="E287" s="47"/>
      <c r="F287" s="58"/>
      <c r="G287" s="58"/>
    </row>
    <row r="288" spans="1:7">
      <c r="A288" s="58"/>
      <c r="B288" s="58"/>
      <c r="C288" s="58"/>
      <c r="D288" s="47"/>
      <c r="E288" s="47"/>
      <c r="F288" s="58"/>
      <c r="G288" s="58"/>
    </row>
    <row r="289" spans="1:9">
      <c r="A289" s="58"/>
      <c r="B289" s="58"/>
      <c r="C289" s="58"/>
      <c r="D289" s="47"/>
      <c r="E289" s="47"/>
      <c r="F289" s="58"/>
      <c r="G289" s="58"/>
    </row>
    <row r="290" spans="1:9">
      <c r="A290" s="58"/>
      <c r="B290" s="58"/>
      <c r="C290" s="58"/>
      <c r="D290" s="47"/>
      <c r="E290" s="47"/>
      <c r="F290" s="58"/>
      <c r="G290" s="58"/>
    </row>
    <row r="291" spans="1:9">
      <c r="A291" s="58"/>
      <c r="B291" s="58"/>
      <c r="C291" s="58"/>
      <c r="D291" s="47"/>
      <c r="E291" s="47"/>
      <c r="F291" s="58"/>
      <c r="G291" s="58"/>
    </row>
    <row r="292" spans="1:9">
      <c r="A292" s="58"/>
      <c r="B292" s="58"/>
      <c r="C292" s="58"/>
      <c r="D292" s="47"/>
      <c r="E292" s="47"/>
      <c r="F292" s="58"/>
      <c r="G292" s="58"/>
    </row>
    <row r="293" spans="1:9">
      <c r="A293" s="58"/>
      <c r="B293" s="58"/>
      <c r="C293" s="58"/>
      <c r="D293" s="47"/>
      <c r="E293" s="47"/>
      <c r="F293" s="58"/>
      <c r="G293" s="58"/>
    </row>
    <row r="294" spans="1:9">
      <c r="A294" s="58"/>
      <c r="B294" s="58"/>
      <c r="C294" s="58"/>
      <c r="D294" s="47"/>
      <c r="E294" s="47"/>
      <c r="F294" s="58"/>
      <c r="G294" s="58"/>
    </row>
    <row r="295" spans="1:9">
      <c r="A295" s="58"/>
      <c r="B295" s="58"/>
      <c r="C295" s="58"/>
      <c r="D295" s="47"/>
      <c r="E295" s="47"/>
      <c r="F295" s="58"/>
      <c r="G295" s="58"/>
    </row>
    <row r="296" spans="1:9">
      <c r="A296" s="58"/>
      <c r="B296" s="58"/>
      <c r="C296" s="58"/>
      <c r="D296" s="47"/>
      <c r="E296" s="47"/>
      <c r="F296" s="58"/>
      <c r="G296" s="58"/>
    </row>
    <row r="297" spans="1:9">
      <c r="A297" s="58"/>
      <c r="B297" s="58"/>
      <c r="C297" s="58"/>
      <c r="D297" s="47"/>
      <c r="E297" s="47"/>
      <c r="F297" s="58"/>
      <c r="G297" s="58"/>
    </row>
    <row r="298" spans="1:9">
      <c r="A298" s="58"/>
      <c r="B298" s="58"/>
      <c r="C298" s="58"/>
      <c r="D298" s="47"/>
      <c r="E298" s="47"/>
      <c r="F298" s="58"/>
      <c r="G298" s="58"/>
    </row>
    <row r="299" spans="1:9">
      <c r="A299" s="58"/>
      <c r="B299" s="58"/>
      <c r="C299" s="58"/>
      <c r="D299" s="47"/>
      <c r="E299" s="47"/>
      <c r="F299" s="58"/>
      <c r="G299" s="58"/>
    </row>
    <row r="300" spans="1:9" ht="16" thickBot="1">
      <c r="A300" s="66"/>
      <c r="B300" s="66"/>
      <c r="C300" s="66"/>
      <c r="D300" s="49"/>
      <c r="E300" s="49"/>
      <c r="F300" s="66"/>
      <c r="G300" s="66"/>
      <c r="H300" s="48"/>
      <c r="I300" s="48"/>
    </row>
  </sheetData>
  <autoFilter ref="A3:I3" xr:uid="{00000000-0001-0000-0000-000000000000}"/>
  <phoneticPr fontId="5" type="noConversion"/>
  <dataValidations count="1">
    <dataValidation type="list" allowBlank="1" showInputMessage="1" showErrorMessage="1" sqref="I4:I300" xr:uid="{8290626A-E100-2842-8A9E-0D3FCEF18363}">
      <formula1>"Market Price, PPA, Public Utility"</formula1>
    </dataValidation>
  </dataValidations>
  <pageMargins left="0.7" right="0.7" top="0.75" bottom="0.75" header="0.3" footer="0.3"/>
  <pageSetup orientation="portrait" horizontalDpi="300" verticalDpi="300"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50F29C1A-8966-364F-91E3-E15FE573189E}">
          <x14:formula1>
            <xm:f>Definitions!$H$25:$H$31</xm:f>
          </x14:formula1>
          <xm:sqref>H4:H300</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98107-0B48-4B4C-BA88-C1A778D125C8}">
  <dimension ref="A1:AU300"/>
  <sheetViews>
    <sheetView showGridLines="0" topLeftCell="R71" zoomScale="83" zoomScaleNormal="81" workbookViewId="0">
      <selection activeCell="V61" sqref="V61:AU119"/>
    </sheetView>
  </sheetViews>
  <sheetFormatPr baseColWidth="10" defaultColWidth="8.83203125" defaultRowHeight="15"/>
  <cols>
    <col min="1" max="1" width="32.5" customWidth="1"/>
  </cols>
  <sheetData>
    <row r="1" spans="1:47" ht="47">
      <c r="A1" s="41" t="s">
        <v>0</v>
      </c>
      <c r="B1" s="42"/>
      <c r="C1" s="42"/>
      <c r="D1" s="42"/>
      <c r="E1" s="42"/>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row>
    <row r="2" spans="1:47" ht="26">
      <c r="A2" s="43" t="s">
        <v>90</v>
      </c>
      <c r="B2" s="42"/>
      <c r="C2" s="42"/>
      <c r="D2" s="42"/>
      <c r="E2" s="42"/>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row>
    <row r="3" spans="1:47" ht="16">
      <c r="A3" s="52" t="s">
        <v>66</v>
      </c>
      <c r="B3" s="65">
        <f>Definitions!I33</f>
        <v>45658</v>
      </c>
      <c r="C3" s="65">
        <f>IFERROR(IF(EDATE(B3,12)&lt;(Definitions!$I$34+1),EDATE(B3,12),""),"")</f>
        <v>46023</v>
      </c>
      <c r="D3" s="65">
        <f>IFERROR(IF(EDATE(C3,12)&lt;(Definitions!$I$34+1),EDATE(C3,12),""),"")</f>
        <v>46388</v>
      </c>
      <c r="E3" s="65">
        <f>IFERROR(IF(EDATE(D3,12)&lt;(Definitions!$I$34+1),EDATE(D3,12),""),"")</f>
        <v>46753</v>
      </c>
      <c r="F3" s="65">
        <f>IFERROR(IF(EDATE(E3,12)&lt;(Definitions!$I$34+1),EDATE(E3,12),""),"")</f>
        <v>47119</v>
      </c>
      <c r="G3" s="65">
        <f>IFERROR(IF(EDATE(F3,12)&lt;(Definitions!$I$34+1),EDATE(F3,12),""),"")</f>
        <v>47484</v>
      </c>
      <c r="H3" s="65">
        <f>IFERROR(IF(EDATE(G3,12)&lt;(Definitions!$I$34+1),EDATE(G3,12),""),"")</f>
        <v>47849</v>
      </c>
      <c r="I3" s="65">
        <f>IFERROR(IF(EDATE(H3,12)&lt;(Definitions!$I$34+1),EDATE(H3,12),""),"")</f>
        <v>48214</v>
      </c>
      <c r="J3" s="65">
        <f>IFERROR(IF(EDATE(I3,12)&lt;(Definitions!$I$34+1),EDATE(I3,12),""),"")</f>
        <v>48580</v>
      </c>
      <c r="K3" s="65">
        <f>IFERROR(IF(EDATE(J3,12)&lt;(Definitions!$I$34+1),EDATE(J3,12),""),"")</f>
        <v>48945</v>
      </c>
      <c r="L3" s="65">
        <f>IFERROR(IF(EDATE(K3,12)&lt;(Definitions!$I$34+1),EDATE(K3,12),""),"")</f>
        <v>49310</v>
      </c>
      <c r="M3" s="65">
        <f>IFERROR(IF(EDATE(L3,12)&lt;(Definitions!$I$34+1),EDATE(L3,12),""),"")</f>
        <v>49675</v>
      </c>
      <c r="N3" s="65">
        <f>IFERROR(IF(EDATE(M3,12)&lt;(Definitions!$I$34+1),EDATE(M3,12),""),"")</f>
        <v>50041</v>
      </c>
      <c r="O3" s="65">
        <f>IFERROR(IF(EDATE(N3,12)&lt;(Definitions!$I$34+1),EDATE(N3,12),""),"")</f>
        <v>50406</v>
      </c>
      <c r="P3" s="65">
        <f>IFERROR(IF(EDATE(O3,12)&lt;(Definitions!$I$34+1),EDATE(O3,12),""),"")</f>
        <v>50771</v>
      </c>
      <c r="Q3" s="65">
        <f>IFERROR(IF(EDATE(P3,12)&lt;(Definitions!$I$34+1),EDATE(P3,12),""),"")</f>
        <v>51136</v>
      </c>
      <c r="R3" s="65">
        <f>IFERROR(IF(EDATE(Q3,12)&lt;(Definitions!$I$34+1),EDATE(Q3,12),""),"")</f>
        <v>51502</v>
      </c>
      <c r="S3" s="65">
        <f>IFERROR(IF(EDATE(R3,12)&lt;(Definitions!$I$34+1),EDATE(R3,12),""),"")</f>
        <v>51867</v>
      </c>
      <c r="T3" s="65">
        <f>IFERROR(IF(EDATE(S3,12)&lt;(Definitions!$I$34+1),EDATE(S3,12),""),"")</f>
        <v>52232</v>
      </c>
      <c r="U3" s="65">
        <f>IFERROR(IF(EDATE(T3,12)&lt;(Definitions!$I$34+1),EDATE(T3,12),""),"")</f>
        <v>52597</v>
      </c>
      <c r="V3" s="65">
        <f>IFERROR(IF(EDATE(U3,12)&lt;(Definitions!$I$34+1),EDATE(U3,12),""),"")</f>
        <v>52963</v>
      </c>
      <c r="W3" s="65">
        <f>IFERROR(IF(EDATE(V3,12)&lt;(Definitions!$I$34+1),EDATE(V3,12),""),"")</f>
        <v>53328</v>
      </c>
      <c r="X3" s="65">
        <f>IFERROR(IF(EDATE(W3,12)&lt;(Definitions!$I$34+1),EDATE(W3,12),""),"")</f>
        <v>53693</v>
      </c>
      <c r="Y3" s="65">
        <f>IFERROR(IF(EDATE(X3,12)&lt;(Definitions!$I$34+1),EDATE(X3,12),""),"")</f>
        <v>54058</v>
      </c>
      <c r="Z3" s="65">
        <f>IFERROR(IF(EDATE(Y3,12)&lt;(Definitions!$I$34+1),EDATE(Y3,12),""),"")</f>
        <v>54424</v>
      </c>
      <c r="AA3" s="65">
        <f>IFERROR(IF(EDATE(Z3,12)&lt;(Definitions!$I$34+1),EDATE(Z3,12),""),"")</f>
        <v>54789</v>
      </c>
      <c r="AB3" s="65">
        <f>IFERROR(IF(EDATE(AA3,12)&lt;(Definitions!$I$34+1),EDATE(AA3,12),""),"")</f>
        <v>55154</v>
      </c>
      <c r="AC3" s="65">
        <f>IFERROR(IF(EDATE(AB3,12)&lt;(Definitions!$I$34+1),EDATE(AB3,12),""),"")</f>
        <v>55519</v>
      </c>
      <c r="AD3" s="65">
        <f>IFERROR(IF(EDATE(AC3,12)&lt;(Definitions!$I$34+1),EDATE(AC3,12),""),"")</f>
        <v>55885</v>
      </c>
      <c r="AE3" s="65">
        <f>IFERROR(IF(EDATE(AD3,12)&lt;(Definitions!$I$34+1),EDATE(AD3,12),""),"")</f>
        <v>56250</v>
      </c>
      <c r="AF3" s="65">
        <f>IFERROR(IF(EDATE(AE3,12)&lt;(Definitions!$I$34+1),EDATE(AE3,12),""),"")</f>
        <v>56615</v>
      </c>
      <c r="AG3" s="65">
        <f>IFERROR(IF(EDATE(AF3,12)&lt;(Definitions!$I$34+1),EDATE(AF3,12),""),"")</f>
        <v>56980</v>
      </c>
      <c r="AH3" s="65">
        <f>IFERROR(IF(EDATE(AG3,12)&lt;(Definitions!$I$34+1),EDATE(AG3,12),""),"")</f>
        <v>57346</v>
      </c>
      <c r="AI3" s="65">
        <f>IFERROR(IF(EDATE(AH3,12)&lt;(Definitions!$I$34+1),EDATE(AH3,12),""),"")</f>
        <v>57711</v>
      </c>
      <c r="AJ3" s="65">
        <f>IFERROR(IF(EDATE(AI3,12)&lt;(Definitions!$I$34+1),EDATE(AI3,12),""),"")</f>
        <v>58076</v>
      </c>
      <c r="AK3" s="65">
        <f>IFERROR(IF(EDATE(AJ3,12)&lt;(Definitions!$I$34+1),EDATE(AJ3,12),""),"")</f>
        <v>58441</v>
      </c>
      <c r="AL3" s="65">
        <f>IFERROR(IF(EDATE(AK3,12)&lt;(Definitions!$I$34+1),EDATE(AK3,12),""),"")</f>
        <v>58807</v>
      </c>
      <c r="AM3" s="65">
        <f>IFERROR(IF(EDATE(AL3,12)&lt;(Definitions!$I$34+1),EDATE(AL3,12),""),"")</f>
        <v>59172</v>
      </c>
      <c r="AN3" s="65">
        <f>IFERROR(IF(EDATE(AM3,12)&lt;(Definitions!$I$34+1),EDATE(AM3,12),""),"")</f>
        <v>59537</v>
      </c>
      <c r="AO3" s="65">
        <f>IFERROR(IF(EDATE(AN3,12)&lt;(Definitions!$I$34+1),EDATE(AN3,12),""),"")</f>
        <v>59902</v>
      </c>
      <c r="AP3" s="65">
        <f>IFERROR(IF(EDATE(AO3,12)&lt;(Definitions!$I$34+1),EDATE(AO3,12),""),"")</f>
        <v>60268</v>
      </c>
      <c r="AQ3" s="65">
        <f>IFERROR(IF(EDATE(AP3,12)&lt;(Definitions!$I$34+1),EDATE(AP3,12),""),"")</f>
        <v>60633</v>
      </c>
      <c r="AR3" s="65">
        <f>IFERROR(IF(EDATE(AQ3,12)&lt;(Definitions!$I$34+1),EDATE(AQ3,12),""),"")</f>
        <v>60998</v>
      </c>
      <c r="AS3" s="65">
        <f>IFERROR(IF(EDATE(AR3,12)&lt;(Definitions!$I$34+1),EDATE(AR3,12),""),"")</f>
        <v>61363</v>
      </c>
      <c r="AT3" s="65">
        <f>IFERROR(IF(EDATE(AS3,12)&lt;(Definitions!$I$34+1),EDATE(AS3,12),""),"")</f>
        <v>61729</v>
      </c>
      <c r="AU3" s="65">
        <f>IFERROR(IF(EDATE(AT3,12)&lt;(Definitions!$I$34+1),EDATE(AT3,12),""),"")</f>
        <v>62094</v>
      </c>
    </row>
    <row r="4" spans="1:47">
      <c r="A4" t="str">
        <f>IF('Plant Data'!A4="","",'Plant Data'!A4)</f>
        <v>ANDA</v>
      </c>
      <c r="B4" s="101">
        <v>40300</v>
      </c>
      <c r="C4" s="101">
        <v>40300</v>
      </c>
      <c r="D4" s="101">
        <v>40300</v>
      </c>
      <c r="E4" s="101">
        <v>40300</v>
      </c>
      <c r="F4" s="101">
        <v>40300</v>
      </c>
      <c r="G4" s="101">
        <v>40300</v>
      </c>
      <c r="H4" s="101">
        <v>40300</v>
      </c>
      <c r="I4" s="101">
        <v>40300</v>
      </c>
      <c r="J4" s="101">
        <v>40300</v>
      </c>
      <c r="K4" s="101">
        <v>40300</v>
      </c>
      <c r="L4" s="101">
        <v>40300</v>
      </c>
      <c r="M4" s="101">
        <v>40300</v>
      </c>
      <c r="N4" s="101">
        <v>40300</v>
      </c>
      <c r="O4" s="101">
        <v>40300</v>
      </c>
      <c r="P4" s="101">
        <v>40300</v>
      </c>
      <c r="Q4" s="101">
        <v>40300</v>
      </c>
      <c r="R4" s="101">
        <v>40300</v>
      </c>
      <c r="S4" s="101">
        <v>40300</v>
      </c>
      <c r="T4" s="101">
        <v>40300</v>
      </c>
      <c r="U4" s="101">
        <v>40300</v>
      </c>
      <c r="V4" s="101">
        <v>40300</v>
      </c>
      <c r="W4" s="101">
        <v>40300</v>
      </c>
      <c r="X4" s="101">
        <v>40300</v>
      </c>
      <c r="Y4" s="101">
        <v>40300</v>
      </c>
      <c r="Z4" s="101">
        <v>40300</v>
      </c>
      <c r="AA4" s="101">
        <v>40300</v>
      </c>
      <c r="AB4" s="101">
        <v>40300</v>
      </c>
      <c r="AC4" s="101">
        <v>40300</v>
      </c>
      <c r="AD4" s="101">
        <v>40300</v>
      </c>
      <c r="AE4" s="101">
        <v>40300</v>
      </c>
      <c r="AF4" s="101">
        <v>40300</v>
      </c>
      <c r="AG4" s="101">
        <v>40300</v>
      </c>
      <c r="AH4" s="101">
        <v>40300</v>
      </c>
      <c r="AI4" s="101">
        <v>40300</v>
      </c>
      <c r="AJ4" s="101">
        <v>40300</v>
      </c>
      <c r="AK4" s="101">
        <v>40300</v>
      </c>
      <c r="AL4" s="101">
        <v>40300</v>
      </c>
      <c r="AM4" s="101">
        <v>40300</v>
      </c>
      <c r="AN4" s="101">
        <v>40300</v>
      </c>
      <c r="AO4" s="101">
        <v>40300</v>
      </c>
      <c r="AP4" s="101">
        <v>40300</v>
      </c>
      <c r="AQ4" s="101">
        <v>40300</v>
      </c>
      <c r="AR4" s="101">
        <v>40300</v>
      </c>
      <c r="AS4" s="101">
        <v>40300</v>
      </c>
      <c r="AT4" s="101">
        <v>40300</v>
      </c>
      <c r="AU4" s="101">
        <v>40300</v>
      </c>
    </row>
    <row r="5" spans="1:47">
      <c r="A5" t="str">
        <f>IF('Plant Data'!A5="","",'Plant Data'!A5)</f>
        <v>APEC</v>
      </c>
      <c r="B5" s="101">
        <v>40300</v>
      </c>
      <c r="C5" s="101">
        <v>40300</v>
      </c>
      <c r="D5" s="101">
        <v>40300</v>
      </c>
      <c r="E5" s="101">
        <v>40300</v>
      </c>
      <c r="F5" s="101">
        <v>40300</v>
      </c>
      <c r="G5" s="101">
        <v>40300</v>
      </c>
      <c r="H5" s="101">
        <v>40300</v>
      </c>
      <c r="I5" s="101">
        <v>40300</v>
      </c>
      <c r="J5" s="101">
        <v>40300</v>
      </c>
      <c r="K5" s="101">
        <v>40300</v>
      </c>
      <c r="L5" s="101">
        <v>40300</v>
      </c>
      <c r="M5" s="101">
        <v>40300</v>
      </c>
      <c r="N5" s="101">
        <v>40300</v>
      </c>
      <c r="O5" s="101">
        <v>40300</v>
      </c>
      <c r="P5" s="101">
        <v>40300</v>
      </c>
      <c r="Q5" s="101">
        <v>40300</v>
      </c>
      <c r="R5" s="101">
        <v>40300</v>
      </c>
      <c r="S5" s="101">
        <v>40300</v>
      </c>
      <c r="T5" s="101">
        <v>40300</v>
      </c>
      <c r="U5" s="101">
        <v>40300</v>
      </c>
      <c r="V5" s="101">
        <v>40300</v>
      </c>
      <c r="W5" s="101">
        <v>40300</v>
      </c>
      <c r="X5" s="101">
        <v>40300</v>
      </c>
      <c r="Y5" s="101">
        <v>40300</v>
      </c>
      <c r="Z5" s="101">
        <v>40300</v>
      </c>
      <c r="AA5" s="101">
        <v>40300</v>
      </c>
      <c r="AB5" s="101">
        <v>40300</v>
      </c>
      <c r="AC5" s="101">
        <v>40300</v>
      </c>
      <c r="AD5" s="101">
        <v>40300</v>
      </c>
      <c r="AE5" s="101">
        <v>40300</v>
      </c>
      <c r="AF5" s="101">
        <v>40300</v>
      </c>
      <c r="AG5" s="101">
        <v>40300</v>
      </c>
      <c r="AH5" s="101">
        <v>40300</v>
      </c>
      <c r="AI5" s="101">
        <v>40300</v>
      </c>
      <c r="AJ5" s="101">
        <v>40300</v>
      </c>
      <c r="AK5" s="101">
        <v>40300</v>
      </c>
      <c r="AL5" s="101">
        <v>40300</v>
      </c>
      <c r="AM5" s="101">
        <v>40300</v>
      </c>
      <c r="AN5" s="101">
        <v>40300</v>
      </c>
      <c r="AO5" s="101">
        <v>40300</v>
      </c>
      <c r="AP5" s="101">
        <v>40300</v>
      </c>
      <c r="AQ5" s="101">
        <v>40300</v>
      </c>
      <c r="AR5" s="101">
        <v>40300</v>
      </c>
      <c r="AS5" s="101">
        <v>40300</v>
      </c>
      <c r="AT5" s="101">
        <v>40300</v>
      </c>
      <c r="AU5" s="101">
        <v>40300</v>
      </c>
    </row>
    <row r="6" spans="1:47">
      <c r="A6" t="str">
        <f>IF('Plant Data'!A6="","",'Plant Data'!A6)</f>
        <v>CALACA U1</v>
      </c>
      <c r="B6" s="101">
        <v>40300</v>
      </c>
      <c r="C6" s="101">
        <v>40300</v>
      </c>
      <c r="D6" s="101">
        <v>40300</v>
      </c>
      <c r="E6" s="101">
        <v>40300</v>
      </c>
      <c r="F6" s="101">
        <v>40300</v>
      </c>
      <c r="G6" s="101">
        <v>40300</v>
      </c>
      <c r="H6" s="101">
        <v>40300</v>
      </c>
      <c r="I6" s="101">
        <v>40300</v>
      </c>
      <c r="J6" s="101">
        <v>40300</v>
      </c>
      <c r="K6" s="101">
        <v>40300</v>
      </c>
      <c r="L6" s="101">
        <v>40300</v>
      </c>
      <c r="M6" s="101">
        <v>40300</v>
      </c>
      <c r="N6" s="101">
        <v>40300</v>
      </c>
      <c r="O6" s="101">
        <v>40300</v>
      </c>
      <c r="P6" s="101">
        <v>40300</v>
      </c>
      <c r="Q6" s="101">
        <v>40300</v>
      </c>
      <c r="R6" s="101">
        <v>40300</v>
      </c>
      <c r="S6" s="101">
        <v>40300</v>
      </c>
      <c r="T6" s="101">
        <v>40300</v>
      </c>
      <c r="U6" s="101">
        <v>40300</v>
      </c>
      <c r="V6" s="101">
        <v>40300</v>
      </c>
      <c r="W6" s="101">
        <v>40300</v>
      </c>
      <c r="X6" s="101">
        <v>40300</v>
      </c>
      <c r="Y6" s="101">
        <v>40300</v>
      </c>
      <c r="Z6" s="101">
        <v>40300</v>
      </c>
      <c r="AA6" s="101">
        <v>40300</v>
      </c>
      <c r="AB6" s="101">
        <v>40300</v>
      </c>
      <c r="AC6" s="101">
        <v>40300</v>
      </c>
      <c r="AD6" s="101">
        <v>40300</v>
      </c>
      <c r="AE6" s="101">
        <v>40300</v>
      </c>
      <c r="AF6" s="101">
        <v>40300</v>
      </c>
      <c r="AG6" s="101">
        <v>40300</v>
      </c>
      <c r="AH6" s="101">
        <v>40300</v>
      </c>
      <c r="AI6" s="101">
        <v>40300</v>
      </c>
      <c r="AJ6" s="101">
        <v>40300</v>
      </c>
      <c r="AK6" s="101">
        <v>40300</v>
      </c>
      <c r="AL6" s="101">
        <v>40300</v>
      </c>
      <c r="AM6" s="101">
        <v>40300</v>
      </c>
      <c r="AN6" s="101">
        <v>40300</v>
      </c>
      <c r="AO6" s="101">
        <v>40300</v>
      </c>
      <c r="AP6" s="101">
        <v>40300</v>
      </c>
      <c r="AQ6" s="101">
        <v>40300</v>
      </c>
      <c r="AR6" s="101">
        <v>40300</v>
      </c>
      <c r="AS6" s="101">
        <v>40300</v>
      </c>
      <c r="AT6" s="101">
        <v>40300</v>
      </c>
      <c r="AU6" s="101">
        <v>40300</v>
      </c>
    </row>
    <row r="7" spans="1:47">
      <c r="A7" t="str">
        <f>IF('Plant Data'!A7="","",'Plant Data'!A7)</f>
        <v>CALACA U2</v>
      </c>
      <c r="B7" s="101">
        <v>40300</v>
      </c>
      <c r="C7" s="101">
        <v>40300</v>
      </c>
      <c r="D7" s="101">
        <v>40300</v>
      </c>
      <c r="E7" s="101">
        <v>40300</v>
      </c>
      <c r="F7" s="101">
        <v>40300</v>
      </c>
      <c r="G7" s="101">
        <v>40300</v>
      </c>
      <c r="H7" s="101">
        <v>40300</v>
      </c>
      <c r="I7" s="101">
        <v>40300</v>
      </c>
      <c r="J7" s="101">
        <v>40300</v>
      </c>
      <c r="K7" s="101">
        <v>40300</v>
      </c>
      <c r="L7" s="101">
        <v>40300</v>
      </c>
      <c r="M7" s="101">
        <v>40300</v>
      </c>
      <c r="N7" s="101">
        <v>40300</v>
      </c>
      <c r="O7" s="101">
        <v>40300</v>
      </c>
      <c r="P7" s="101">
        <v>40300</v>
      </c>
      <c r="Q7" s="101">
        <v>40300</v>
      </c>
      <c r="R7" s="101">
        <v>40300</v>
      </c>
      <c r="S7" s="101">
        <v>40300</v>
      </c>
      <c r="T7" s="101">
        <v>40300</v>
      </c>
      <c r="U7" s="101">
        <v>40300</v>
      </c>
      <c r="V7" s="101">
        <v>40300</v>
      </c>
      <c r="W7" s="101">
        <v>40300</v>
      </c>
      <c r="X7" s="101">
        <v>40300</v>
      </c>
      <c r="Y7" s="101">
        <v>40300</v>
      </c>
      <c r="Z7" s="101">
        <v>40300</v>
      </c>
      <c r="AA7" s="101">
        <v>40300</v>
      </c>
      <c r="AB7" s="101">
        <v>40300</v>
      </c>
      <c r="AC7" s="101">
        <v>40300</v>
      </c>
      <c r="AD7" s="101">
        <v>40300</v>
      </c>
      <c r="AE7" s="101">
        <v>40300</v>
      </c>
      <c r="AF7" s="101">
        <v>40300</v>
      </c>
      <c r="AG7" s="101">
        <v>40300</v>
      </c>
      <c r="AH7" s="101">
        <v>40300</v>
      </c>
      <c r="AI7" s="101">
        <v>40300</v>
      </c>
      <c r="AJ7" s="101">
        <v>40300</v>
      </c>
      <c r="AK7" s="101">
        <v>40300</v>
      </c>
      <c r="AL7" s="101">
        <v>40300</v>
      </c>
      <c r="AM7" s="101">
        <v>40300</v>
      </c>
      <c r="AN7" s="101">
        <v>40300</v>
      </c>
      <c r="AO7" s="101">
        <v>40300</v>
      </c>
      <c r="AP7" s="101">
        <v>40300</v>
      </c>
      <c r="AQ7" s="101">
        <v>40300</v>
      </c>
      <c r="AR7" s="101">
        <v>40300</v>
      </c>
      <c r="AS7" s="101">
        <v>40300</v>
      </c>
      <c r="AT7" s="101">
        <v>40300</v>
      </c>
      <c r="AU7" s="101">
        <v>40300</v>
      </c>
    </row>
    <row r="8" spans="1:47">
      <c r="A8" t="str">
        <f>IF('Plant Data'!A8="","",'Plant Data'!A8)</f>
        <v>MARIVELES U1</v>
      </c>
      <c r="B8" s="101">
        <v>40300</v>
      </c>
      <c r="C8" s="101">
        <v>40300</v>
      </c>
      <c r="D8" s="101">
        <v>40300</v>
      </c>
      <c r="E8" s="101">
        <v>40300</v>
      </c>
      <c r="F8" s="101">
        <v>40300</v>
      </c>
      <c r="G8" s="101">
        <v>40300</v>
      </c>
      <c r="H8" s="101">
        <v>40300</v>
      </c>
      <c r="I8" s="101">
        <v>40300</v>
      </c>
      <c r="J8" s="101">
        <v>40300</v>
      </c>
      <c r="K8" s="101">
        <v>40300</v>
      </c>
      <c r="L8" s="101">
        <v>40300</v>
      </c>
      <c r="M8" s="101">
        <v>40300</v>
      </c>
      <c r="N8" s="101">
        <v>40300</v>
      </c>
      <c r="O8" s="101">
        <v>40300</v>
      </c>
      <c r="P8" s="101">
        <v>40300</v>
      </c>
      <c r="Q8" s="101">
        <v>40300</v>
      </c>
      <c r="R8" s="101">
        <v>40300</v>
      </c>
      <c r="S8" s="101">
        <v>40300</v>
      </c>
      <c r="T8" s="101">
        <v>40300</v>
      </c>
      <c r="U8" s="101">
        <v>40300</v>
      </c>
      <c r="V8" s="101">
        <v>40300</v>
      </c>
      <c r="W8" s="101">
        <v>40300</v>
      </c>
      <c r="X8" s="101">
        <v>40300</v>
      </c>
      <c r="Y8" s="101">
        <v>40300</v>
      </c>
      <c r="Z8" s="101">
        <v>40300</v>
      </c>
      <c r="AA8" s="101">
        <v>40300</v>
      </c>
      <c r="AB8" s="101">
        <v>40300</v>
      </c>
      <c r="AC8" s="101">
        <v>40300</v>
      </c>
      <c r="AD8" s="101">
        <v>40300</v>
      </c>
      <c r="AE8" s="101">
        <v>40300</v>
      </c>
      <c r="AF8" s="101">
        <v>40300</v>
      </c>
      <c r="AG8" s="101">
        <v>40300</v>
      </c>
      <c r="AH8" s="101">
        <v>40300</v>
      </c>
      <c r="AI8" s="101">
        <v>40300</v>
      </c>
      <c r="AJ8" s="101">
        <v>40300</v>
      </c>
      <c r="AK8" s="101">
        <v>40300</v>
      </c>
      <c r="AL8" s="101">
        <v>40300</v>
      </c>
      <c r="AM8" s="101">
        <v>40300</v>
      </c>
      <c r="AN8" s="101">
        <v>40300</v>
      </c>
      <c r="AO8" s="101">
        <v>40300</v>
      </c>
      <c r="AP8" s="101">
        <v>40300</v>
      </c>
      <c r="AQ8" s="101">
        <v>40300</v>
      </c>
      <c r="AR8" s="101">
        <v>40300</v>
      </c>
      <c r="AS8" s="101">
        <v>40300</v>
      </c>
      <c r="AT8" s="101">
        <v>40300</v>
      </c>
      <c r="AU8" s="101">
        <v>40300</v>
      </c>
    </row>
    <row r="9" spans="1:47">
      <c r="A9" t="str">
        <f>IF('Plant Data'!A9="","",'Plant Data'!A9)</f>
        <v>MARIVELES U2</v>
      </c>
      <c r="B9" s="101">
        <v>40300</v>
      </c>
      <c r="C9" s="101">
        <v>40300</v>
      </c>
      <c r="D9" s="101">
        <v>40300</v>
      </c>
      <c r="E9" s="101">
        <v>40300</v>
      </c>
      <c r="F9" s="101">
        <v>40300</v>
      </c>
      <c r="G9" s="101">
        <v>40300</v>
      </c>
      <c r="H9" s="101">
        <v>40300</v>
      </c>
      <c r="I9" s="101">
        <v>40300</v>
      </c>
      <c r="J9" s="101">
        <v>40300</v>
      </c>
      <c r="K9" s="101">
        <v>40300</v>
      </c>
      <c r="L9" s="101">
        <v>40300</v>
      </c>
      <c r="M9" s="101">
        <v>40300</v>
      </c>
      <c r="N9" s="101">
        <v>40300</v>
      </c>
      <c r="O9" s="101">
        <v>40300</v>
      </c>
      <c r="P9" s="101">
        <v>40300</v>
      </c>
      <c r="Q9" s="101">
        <v>40300</v>
      </c>
      <c r="R9" s="101">
        <v>40300</v>
      </c>
      <c r="S9" s="101">
        <v>40300</v>
      </c>
      <c r="T9" s="101">
        <v>40300</v>
      </c>
      <c r="U9" s="101">
        <v>40300</v>
      </c>
      <c r="V9" s="101">
        <v>40300</v>
      </c>
      <c r="W9" s="101">
        <v>40300</v>
      </c>
      <c r="X9" s="101">
        <v>40300</v>
      </c>
      <c r="Y9" s="101">
        <v>40300</v>
      </c>
      <c r="Z9" s="101">
        <v>40300</v>
      </c>
      <c r="AA9" s="101">
        <v>40300</v>
      </c>
      <c r="AB9" s="101">
        <v>40300</v>
      </c>
      <c r="AC9" s="101">
        <v>40300</v>
      </c>
      <c r="AD9" s="101">
        <v>40300</v>
      </c>
      <c r="AE9" s="101">
        <v>40300</v>
      </c>
      <c r="AF9" s="101">
        <v>40300</v>
      </c>
      <c r="AG9" s="101">
        <v>40300</v>
      </c>
      <c r="AH9" s="101">
        <v>40300</v>
      </c>
      <c r="AI9" s="101">
        <v>40300</v>
      </c>
      <c r="AJ9" s="101">
        <v>40300</v>
      </c>
      <c r="AK9" s="101">
        <v>40300</v>
      </c>
      <c r="AL9" s="101">
        <v>40300</v>
      </c>
      <c r="AM9" s="101">
        <v>40300</v>
      </c>
      <c r="AN9" s="101">
        <v>40300</v>
      </c>
      <c r="AO9" s="101">
        <v>40300</v>
      </c>
      <c r="AP9" s="101">
        <v>40300</v>
      </c>
      <c r="AQ9" s="101">
        <v>40300</v>
      </c>
      <c r="AR9" s="101">
        <v>40300</v>
      </c>
      <c r="AS9" s="101">
        <v>40300</v>
      </c>
      <c r="AT9" s="101">
        <v>40300</v>
      </c>
      <c r="AU9" s="101">
        <v>40300</v>
      </c>
    </row>
    <row r="10" spans="1:47">
      <c r="A10" t="str">
        <f>IF('Plant Data'!A10="","",'Plant Data'!A10)</f>
        <v>MASINLOC U1</v>
      </c>
      <c r="B10" s="101">
        <v>40300</v>
      </c>
      <c r="C10" s="101">
        <v>40300</v>
      </c>
      <c r="D10" s="101">
        <v>40300</v>
      </c>
      <c r="E10" s="101">
        <v>40300</v>
      </c>
      <c r="F10" s="101">
        <v>40300</v>
      </c>
      <c r="G10" s="101">
        <v>40300</v>
      </c>
      <c r="H10" s="101">
        <v>40300</v>
      </c>
      <c r="I10" s="101">
        <v>40300</v>
      </c>
      <c r="J10" s="101">
        <v>40300</v>
      </c>
      <c r="K10" s="101">
        <v>40300</v>
      </c>
      <c r="L10" s="101">
        <v>40300</v>
      </c>
      <c r="M10" s="101">
        <v>40300</v>
      </c>
      <c r="N10" s="101">
        <v>40300</v>
      </c>
      <c r="O10" s="101">
        <v>40300</v>
      </c>
      <c r="P10" s="101">
        <v>40300</v>
      </c>
      <c r="Q10" s="101">
        <v>40300</v>
      </c>
      <c r="R10" s="101">
        <v>40300</v>
      </c>
      <c r="S10" s="101">
        <v>40300</v>
      </c>
      <c r="T10" s="101">
        <v>40300</v>
      </c>
      <c r="U10" s="101">
        <v>40300</v>
      </c>
      <c r="V10" s="101">
        <v>40300</v>
      </c>
      <c r="W10" s="101">
        <v>40300</v>
      </c>
      <c r="X10" s="101">
        <v>40300</v>
      </c>
      <c r="Y10" s="101">
        <v>40300</v>
      </c>
      <c r="Z10" s="101">
        <v>40300</v>
      </c>
      <c r="AA10" s="101">
        <v>40300</v>
      </c>
      <c r="AB10" s="101">
        <v>40300</v>
      </c>
      <c r="AC10" s="101">
        <v>40300</v>
      </c>
      <c r="AD10" s="101">
        <v>40300</v>
      </c>
      <c r="AE10" s="101">
        <v>40300</v>
      </c>
      <c r="AF10" s="101">
        <v>40300</v>
      </c>
      <c r="AG10" s="101">
        <v>40300</v>
      </c>
      <c r="AH10" s="101">
        <v>40300</v>
      </c>
      <c r="AI10" s="101">
        <v>40300</v>
      </c>
      <c r="AJ10" s="101">
        <v>40300</v>
      </c>
      <c r="AK10" s="101">
        <v>40300</v>
      </c>
      <c r="AL10" s="101">
        <v>40300</v>
      </c>
      <c r="AM10" s="101">
        <v>40300</v>
      </c>
      <c r="AN10" s="101">
        <v>40300</v>
      </c>
      <c r="AO10" s="101">
        <v>40300</v>
      </c>
      <c r="AP10" s="101">
        <v>40300</v>
      </c>
      <c r="AQ10" s="101">
        <v>40300</v>
      </c>
      <c r="AR10" s="101">
        <v>40300</v>
      </c>
      <c r="AS10" s="101">
        <v>40300</v>
      </c>
      <c r="AT10" s="101">
        <v>40300</v>
      </c>
      <c r="AU10" s="101">
        <v>40300</v>
      </c>
    </row>
    <row r="11" spans="1:47">
      <c r="A11" t="str">
        <f>IF('Plant Data'!A11="","",'Plant Data'!A11)</f>
        <v>MASINLOC U2</v>
      </c>
      <c r="B11" s="101">
        <v>40300</v>
      </c>
      <c r="C11" s="101">
        <v>40300</v>
      </c>
      <c r="D11" s="101">
        <v>40300</v>
      </c>
      <c r="E11" s="101">
        <v>40300</v>
      </c>
      <c r="F11" s="101">
        <v>40300</v>
      </c>
      <c r="G11" s="101">
        <v>40300</v>
      </c>
      <c r="H11" s="101">
        <v>40300</v>
      </c>
      <c r="I11" s="101">
        <v>40300</v>
      </c>
      <c r="J11" s="101">
        <v>40300</v>
      </c>
      <c r="K11" s="101">
        <v>40300</v>
      </c>
      <c r="L11" s="101">
        <v>40300</v>
      </c>
      <c r="M11" s="101">
        <v>40300</v>
      </c>
      <c r="N11" s="101">
        <v>40300</v>
      </c>
      <c r="O11" s="101">
        <v>40300</v>
      </c>
      <c r="P11" s="101">
        <v>40300</v>
      </c>
      <c r="Q11" s="101">
        <v>40300</v>
      </c>
      <c r="R11" s="101">
        <v>40300</v>
      </c>
      <c r="S11" s="101">
        <v>40300</v>
      </c>
      <c r="T11" s="101">
        <v>40300</v>
      </c>
      <c r="U11" s="101">
        <v>40300</v>
      </c>
      <c r="V11" s="101">
        <v>40300</v>
      </c>
      <c r="W11" s="101">
        <v>40300</v>
      </c>
      <c r="X11" s="101">
        <v>40300</v>
      </c>
      <c r="Y11" s="101">
        <v>40300</v>
      </c>
      <c r="Z11" s="101">
        <v>40300</v>
      </c>
      <c r="AA11" s="101">
        <v>40300</v>
      </c>
      <c r="AB11" s="101">
        <v>40300</v>
      </c>
      <c r="AC11" s="101">
        <v>40300</v>
      </c>
      <c r="AD11" s="101">
        <v>40300</v>
      </c>
      <c r="AE11" s="101">
        <v>40300</v>
      </c>
      <c r="AF11" s="101">
        <v>40300</v>
      </c>
      <c r="AG11" s="101">
        <v>40300</v>
      </c>
      <c r="AH11" s="101">
        <v>40300</v>
      </c>
      <c r="AI11" s="101">
        <v>40300</v>
      </c>
      <c r="AJ11" s="101">
        <v>40300</v>
      </c>
      <c r="AK11" s="101">
        <v>40300</v>
      </c>
      <c r="AL11" s="101">
        <v>40300</v>
      </c>
      <c r="AM11" s="101">
        <v>40300</v>
      </c>
      <c r="AN11" s="101">
        <v>40300</v>
      </c>
      <c r="AO11" s="101">
        <v>40300</v>
      </c>
      <c r="AP11" s="101">
        <v>40300</v>
      </c>
      <c r="AQ11" s="101">
        <v>40300</v>
      </c>
      <c r="AR11" s="101">
        <v>40300</v>
      </c>
      <c r="AS11" s="101">
        <v>40300</v>
      </c>
      <c r="AT11" s="101">
        <v>40300</v>
      </c>
      <c r="AU11" s="101">
        <v>40300</v>
      </c>
    </row>
    <row r="12" spans="1:47">
      <c r="A12" t="str">
        <f>IF('Plant Data'!A12="","",'Plant Data'!A12)</f>
        <v>PAGBILAO U1</v>
      </c>
      <c r="B12" s="101">
        <v>40300</v>
      </c>
      <c r="C12" s="101">
        <v>40300</v>
      </c>
      <c r="D12" s="101">
        <v>40300</v>
      </c>
      <c r="E12" s="101">
        <v>40300</v>
      </c>
      <c r="F12" s="101">
        <v>40300</v>
      </c>
      <c r="G12" s="101">
        <v>40300</v>
      </c>
      <c r="H12" s="101">
        <v>40300</v>
      </c>
      <c r="I12" s="101">
        <v>40300</v>
      </c>
      <c r="J12" s="101">
        <v>40300</v>
      </c>
      <c r="K12" s="101">
        <v>40300</v>
      </c>
      <c r="L12" s="101">
        <v>40300</v>
      </c>
      <c r="M12" s="101">
        <v>40300</v>
      </c>
      <c r="N12" s="101">
        <v>40300</v>
      </c>
      <c r="O12" s="101">
        <v>40300</v>
      </c>
      <c r="P12" s="101">
        <v>40300</v>
      </c>
      <c r="Q12" s="101">
        <v>40300</v>
      </c>
      <c r="R12" s="101">
        <v>40300</v>
      </c>
      <c r="S12" s="101">
        <v>40300</v>
      </c>
      <c r="T12" s="101">
        <v>40300</v>
      </c>
      <c r="U12" s="101">
        <v>40300</v>
      </c>
      <c r="V12" s="101">
        <v>40300</v>
      </c>
      <c r="W12" s="101">
        <v>40300</v>
      </c>
      <c r="X12" s="101">
        <v>40300</v>
      </c>
      <c r="Y12" s="101">
        <v>40300</v>
      </c>
      <c r="Z12" s="101">
        <v>40300</v>
      </c>
      <c r="AA12" s="101">
        <v>40300</v>
      </c>
      <c r="AB12" s="101">
        <v>40300</v>
      </c>
      <c r="AC12" s="101">
        <v>40300</v>
      </c>
      <c r="AD12" s="101">
        <v>40300</v>
      </c>
      <c r="AE12" s="101">
        <v>40300</v>
      </c>
      <c r="AF12" s="101">
        <v>40300</v>
      </c>
      <c r="AG12" s="101">
        <v>40300</v>
      </c>
      <c r="AH12" s="101">
        <v>40300</v>
      </c>
      <c r="AI12" s="101">
        <v>40300</v>
      </c>
      <c r="AJ12" s="101">
        <v>40300</v>
      </c>
      <c r="AK12" s="101">
        <v>40300</v>
      </c>
      <c r="AL12" s="101">
        <v>40300</v>
      </c>
      <c r="AM12" s="101">
        <v>40300</v>
      </c>
      <c r="AN12" s="101">
        <v>40300</v>
      </c>
      <c r="AO12" s="101">
        <v>40300</v>
      </c>
      <c r="AP12" s="101">
        <v>40300</v>
      </c>
      <c r="AQ12" s="101">
        <v>40300</v>
      </c>
      <c r="AR12" s="101">
        <v>40300</v>
      </c>
      <c r="AS12" s="101">
        <v>40300</v>
      </c>
      <c r="AT12" s="101">
        <v>40300</v>
      </c>
      <c r="AU12" s="101">
        <v>40300</v>
      </c>
    </row>
    <row r="13" spans="1:47">
      <c r="A13" t="str">
        <f>IF('Plant Data'!A13="","",'Plant Data'!A13)</f>
        <v>PAGBILAO U2</v>
      </c>
      <c r="B13" s="101">
        <v>40300</v>
      </c>
      <c r="C13" s="101">
        <v>40300</v>
      </c>
      <c r="D13" s="101">
        <v>40300</v>
      </c>
      <c r="E13" s="101">
        <v>40300</v>
      </c>
      <c r="F13" s="101">
        <v>40300</v>
      </c>
      <c r="G13" s="101">
        <v>40300</v>
      </c>
      <c r="H13" s="101">
        <v>40300</v>
      </c>
      <c r="I13" s="101">
        <v>40300</v>
      </c>
      <c r="J13" s="101">
        <v>40300</v>
      </c>
      <c r="K13" s="101">
        <v>40300</v>
      </c>
      <c r="L13" s="101">
        <v>40300</v>
      </c>
      <c r="M13" s="101">
        <v>40300</v>
      </c>
      <c r="N13" s="101">
        <v>40300</v>
      </c>
      <c r="O13" s="101">
        <v>40300</v>
      </c>
      <c r="P13" s="101">
        <v>40300</v>
      </c>
      <c r="Q13" s="101">
        <v>40300</v>
      </c>
      <c r="R13" s="101">
        <v>40300</v>
      </c>
      <c r="S13" s="101">
        <v>40300</v>
      </c>
      <c r="T13" s="101">
        <v>40300</v>
      </c>
      <c r="U13" s="101">
        <v>40300</v>
      </c>
      <c r="V13" s="101">
        <v>40300</v>
      </c>
      <c r="W13" s="101">
        <v>40300</v>
      </c>
      <c r="X13" s="101">
        <v>40300</v>
      </c>
      <c r="Y13" s="101">
        <v>40300</v>
      </c>
      <c r="Z13" s="101">
        <v>40300</v>
      </c>
      <c r="AA13" s="101">
        <v>40300</v>
      </c>
      <c r="AB13" s="101">
        <v>40300</v>
      </c>
      <c r="AC13" s="101">
        <v>40300</v>
      </c>
      <c r="AD13" s="101">
        <v>40300</v>
      </c>
      <c r="AE13" s="101">
        <v>40300</v>
      </c>
      <c r="AF13" s="101">
        <v>40300</v>
      </c>
      <c r="AG13" s="101">
        <v>40300</v>
      </c>
      <c r="AH13" s="101">
        <v>40300</v>
      </c>
      <c r="AI13" s="101">
        <v>40300</v>
      </c>
      <c r="AJ13" s="101">
        <v>40300</v>
      </c>
      <c r="AK13" s="101">
        <v>40300</v>
      </c>
      <c r="AL13" s="101">
        <v>40300</v>
      </c>
      <c r="AM13" s="101">
        <v>40300</v>
      </c>
      <c r="AN13" s="101">
        <v>40300</v>
      </c>
      <c r="AO13" s="101">
        <v>40300</v>
      </c>
      <c r="AP13" s="101">
        <v>40300</v>
      </c>
      <c r="AQ13" s="101">
        <v>40300</v>
      </c>
      <c r="AR13" s="101">
        <v>40300</v>
      </c>
      <c r="AS13" s="101">
        <v>40300</v>
      </c>
      <c r="AT13" s="101">
        <v>40300</v>
      </c>
      <c r="AU13" s="101">
        <v>40300</v>
      </c>
    </row>
    <row r="14" spans="1:47">
      <c r="A14" t="str">
        <f>IF('Plant Data'!A14="","",'Plant Data'!A14)</f>
        <v>PAGBILAO U3</v>
      </c>
      <c r="B14" s="101">
        <v>40300</v>
      </c>
      <c r="C14" s="101">
        <v>40300</v>
      </c>
      <c r="D14" s="101">
        <v>40300</v>
      </c>
      <c r="E14" s="101">
        <v>40300</v>
      </c>
      <c r="F14" s="101">
        <v>40300</v>
      </c>
      <c r="G14" s="101">
        <v>40300</v>
      </c>
      <c r="H14" s="101">
        <v>40300</v>
      </c>
      <c r="I14" s="101">
        <v>40300</v>
      </c>
      <c r="J14" s="101">
        <v>40300</v>
      </c>
      <c r="K14" s="101">
        <v>40300</v>
      </c>
      <c r="L14" s="101">
        <v>40300</v>
      </c>
      <c r="M14" s="101">
        <v>40300</v>
      </c>
      <c r="N14" s="101">
        <v>40300</v>
      </c>
      <c r="O14" s="101">
        <v>40300</v>
      </c>
      <c r="P14" s="101">
        <v>40300</v>
      </c>
      <c r="Q14" s="101">
        <v>40300</v>
      </c>
      <c r="R14" s="101">
        <v>40300</v>
      </c>
      <c r="S14" s="101">
        <v>40300</v>
      </c>
      <c r="T14" s="101">
        <v>40300</v>
      </c>
      <c r="U14" s="101">
        <v>40300</v>
      </c>
      <c r="V14" s="101">
        <v>40300</v>
      </c>
      <c r="W14" s="101">
        <v>40300</v>
      </c>
      <c r="X14" s="101">
        <v>40300</v>
      </c>
      <c r="Y14" s="101">
        <v>40300</v>
      </c>
      <c r="Z14" s="101">
        <v>40300</v>
      </c>
      <c r="AA14" s="101">
        <v>40300</v>
      </c>
      <c r="AB14" s="101">
        <v>40300</v>
      </c>
      <c r="AC14" s="101">
        <v>40300</v>
      </c>
      <c r="AD14" s="101">
        <v>40300</v>
      </c>
      <c r="AE14" s="101">
        <v>40300</v>
      </c>
      <c r="AF14" s="101">
        <v>40300</v>
      </c>
      <c r="AG14" s="101">
        <v>40300</v>
      </c>
      <c r="AH14" s="101">
        <v>40300</v>
      </c>
      <c r="AI14" s="101">
        <v>40300</v>
      </c>
      <c r="AJ14" s="101">
        <v>40300</v>
      </c>
      <c r="AK14" s="101">
        <v>40300</v>
      </c>
      <c r="AL14" s="101">
        <v>40300</v>
      </c>
      <c r="AM14" s="101">
        <v>40300</v>
      </c>
      <c r="AN14" s="101">
        <v>40300</v>
      </c>
      <c r="AO14" s="101">
        <v>40300</v>
      </c>
      <c r="AP14" s="101">
        <v>40300</v>
      </c>
      <c r="AQ14" s="101">
        <v>40300</v>
      </c>
      <c r="AR14" s="101">
        <v>40300</v>
      </c>
      <c r="AS14" s="101">
        <v>40300</v>
      </c>
      <c r="AT14" s="101">
        <v>40300</v>
      </c>
      <c r="AU14" s="101">
        <v>40300</v>
      </c>
    </row>
    <row r="15" spans="1:47">
      <c r="A15" t="str">
        <f>IF('Plant Data'!A15="","",'Plant Data'!A15)</f>
        <v>QUEZON POWER</v>
      </c>
      <c r="B15" s="101">
        <v>40300</v>
      </c>
      <c r="C15" s="101">
        <v>40300</v>
      </c>
      <c r="D15" s="101">
        <v>40300</v>
      </c>
      <c r="E15" s="101">
        <v>40300</v>
      </c>
      <c r="F15" s="101">
        <v>40300</v>
      </c>
      <c r="G15" s="101">
        <v>40300</v>
      </c>
      <c r="H15" s="101">
        <v>40300</v>
      </c>
      <c r="I15" s="101">
        <v>40300</v>
      </c>
      <c r="J15" s="101">
        <v>40300</v>
      </c>
      <c r="K15" s="101">
        <v>40300</v>
      </c>
      <c r="L15" s="101">
        <v>40300</v>
      </c>
      <c r="M15" s="101">
        <v>40300</v>
      </c>
      <c r="N15" s="101">
        <v>40300</v>
      </c>
      <c r="O15" s="101">
        <v>40300</v>
      </c>
      <c r="P15" s="101">
        <v>40300</v>
      </c>
      <c r="Q15" s="101">
        <v>40300</v>
      </c>
      <c r="R15" s="101">
        <v>40300</v>
      </c>
      <c r="S15" s="101">
        <v>40300</v>
      </c>
      <c r="T15" s="101">
        <v>40300</v>
      </c>
      <c r="U15" s="101">
        <v>40300</v>
      </c>
      <c r="V15" s="101">
        <v>40300</v>
      </c>
      <c r="W15" s="101">
        <v>40300</v>
      </c>
      <c r="X15" s="101">
        <v>40300</v>
      </c>
      <c r="Y15" s="101">
        <v>40300</v>
      </c>
      <c r="Z15" s="101">
        <v>40300</v>
      </c>
      <c r="AA15" s="101">
        <v>40300</v>
      </c>
      <c r="AB15" s="101">
        <v>40300</v>
      </c>
      <c r="AC15" s="101">
        <v>40300</v>
      </c>
      <c r="AD15" s="101">
        <v>40300</v>
      </c>
      <c r="AE15" s="101">
        <v>40300</v>
      </c>
      <c r="AF15" s="101">
        <v>40300</v>
      </c>
      <c r="AG15" s="101">
        <v>40300</v>
      </c>
      <c r="AH15" s="101">
        <v>40300</v>
      </c>
      <c r="AI15" s="101">
        <v>40300</v>
      </c>
      <c r="AJ15" s="101">
        <v>40300</v>
      </c>
      <c r="AK15" s="101">
        <v>40300</v>
      </c>
      <c r="AL15" s="101">
        <v>40300</v>
      </c>
      <c r="AM15" s="101">
        <v>40300</v>
      </c>
      <c r="AN15" s="101">
        <v>40300</v>
      </c>
      <c r="AO15" s="101">
        <v>40300</v>
      </c>
      <c r="AP15" s="101">
        <v>40300</v>
      </c>
      <c r="AQ15" s="101">
        <v>40300</v>
      </c>
      <c r="AR15" s="101">
        <v>40300</v>
      </c>
      <c r="AS15" s="101">
        <v>40300</v>
      </c>
      <c r="AT15" s="101">
        <v>40300</v>
      </c>
      <c r="AU15" s="101">
        <v>40300</v>
      </c>
    </row>
    <row r="16" spans="1:47">
      <c r="A16" t="str">
        <f>IF('Plant Data'!A16="","",'Plant Data'!A16)</f>
        <v>SBPL</v>
      </c>
      <c r="B16" s="101">
        <v>40300</v>
      </c>
      <c r="C16" s="101">
        <v>40300</v>
      </c>
      <c r="D16" s="101">
        <v>40300</v>
      </c>
      <c r="E16" s="101">
        <v>40300</v>
      </c>
      <c r="F16" s="101">
        <v>40300</v>
      </c>
      <c r="G16" s="101">
        <v>40300</v>
      </c>
      <c r="H16" s="101">
        <v>40300</v>
      </c>
      <c r="I16" s="101">
        <v>40300</v>
      </c>
      <c r="J16" s="101">
        <v>40300</v>
      </c>
      <c r="K16" s="101">
        <v>40300</v>
      </c>
      <c r="L16" s="101">
        <v>40300</v>
      </c>
      <c r="M16" s="101">
        <v>40300</v>
      </c>
      <c r="N16" s="101">
        <v>40300</v>
      </c>
      <c r="O16" s="101">
        <v>40300</v>
      </c>
      <c r="P16" s="101">
        <v>40300</v>
      </c>
      <c r="Q16" s="101">
        <v>40300</v>
      </c>
      <c r="R16" s="101">
        <v>40300</v>
      </c>
      <c r="S16" s="101">
        <v>40300</v>
      </c>
      <c r="T16" s="101">
        <v>40300</v>
      </c>
      <c r="U16" s="101">
        <v>40300</v>
      </c>
      <c r="V16" s="101">
        <v>40300</v>
      </c>
      <c r="W16" s="101">
        <v>40300</v>
      </c>
      <c r="X16" s="101">
        <v>40300</v>
      </c>
      <c r="Y16" s="101">
        <v>40300</v>
      </c>
      <c r="Z16" s="101">
        <v>40300</v>
      </c>
      <c r="AA16" s="101">
        <v>40300</v>
      </c>
      <c r="AB16" s="101">
        <v>40300</v>
      </c>
      <c r="AC16" s="101">
        <v>40300</v>
      </c>
      <c r="AD16" s="101">
        <v>40300</v>
      </c>
      <c r="AE16" s="101">
        <v>40300</v>
      </c>
      <c r="AF16" s="101">
        <v>40300</v>
      </c>
      <c r="AG16" s="101">
        <v>40300</v>
      </c>
      <c r="AH16" s="101">
        <v>40300</v>
      </c>
      <c r="AI16" s="101">
        <v>40300</v>
      </c>
      <c r="AJ16" s="101">
        <v>40300</v>
      </c>
      <c r="AK16" s="101">
        <v>40300</v>
      </c>
      <c r="AL16" s="101">
        <v>40300</v>
      </c>
      <c r="AM16" s="101">
        <v>40300</v>
      </c>
      <c r="AN16" s="101">
        <v>40300</v>
      </c>
      <c r="AO16" s="101">
        <v>40300</v>
      </c>
      <c r="AP16" s="101">
        <v>40300</v>
      </c>
      <c r="AQ16" s="101">
        <v>40300</v>
      </c>
      <c r="AR16" s="101">
        <v>40300</v>
      </c>
      <c r="AS16" s="101">
        <v>40300</v>
      </c>
      <c r="AT16" s="101">
        <v>40300</v>
      </c>
      <c r="AU16" s="101">
        <v>40300</v>
      </c>
    </row>
    <row r="17" spans="1:47">
      <c r="A17" t="str">
        <f>IF('Plant Data'!A17="","",'Plant Data'!A17)</f>
        <v>SCPC U1 (SMC LIMAY U1)</v>
      </c>
      <c r="B17" s="101">
        <v>40300</v>
      </c>
      <c r="C17" s="101">
        <v>40300</v>
      </c>
      <c r="D17" s="101">
        <v>40300</v>
      </c>
      <c r="E17" s="101">
        <v>40300</v>
      </c>
      <c r="F17" s="101">
        <v>40300</v>
      </c>
      <c r="G17" s="101">
        <v>40300</v>
      </c>
      <c r="H17" s="101">
        <v>40300</v>
      </c>
      <c r="I17" s="101">
        <v>40300</v>
      </c>
      <c r="J17" s="101">
        <v>40300</v>
      </c>
      <c r="K17" s="101">
        <v>40300</v>
      </c>
      <c r="L17" s="101">
        <v>40300</v>
      </c>
      <c r="M17" s="101">
        <v>40300</v>
      </c>
      <c r="N17" s="101">
        <v>40300</v>
      </c>
      <c r="O17" s="101">
        <v>40300</v>
      </c>
      <c r="P17" s="101">
        <v>40300</v>
      </c>
      <c r="Q17" s="101">
        <v>40300</v>
      </c>
      <c r="R17" s="101">
        <v>40300</v>
      </c>
      <c r="S17" s="101">
        <v>40300</v>
      </c>
      <c r="T17" s="101">
        <v>40300</v>
      </c>
      <c r="U17" s="101">
        <v>40300</v>
      </c>
      <c r="V17" s="101">
        <v>40300</v>
      </c>
      <c r="W17" s="101">
        <v>40300</v>
      </c>
      <c r="X17" s="101">
        <v>40300</v>
      </c>
      <c r="Y17" s="101">
        <v>40300</v>
      </c>
      <c r="Z17" s="101">
        <v>40300</v>
      </c>
      <c r="AA17" s="101">
        <v>40300</v>
      </c>
      <c r="AB17" s="101">
        <v>40300</v>
      </c>
      <c r="AC17" s="101">
        <v>40300</v>
      </c>
      <c r="AD17" s="101">
        <v>40300</v>
      </c>
      <c r="AE17" s="101">
        <v>40300</v>
      </c>
      <c r="AF17" s="101">
        <v>40300</v>
      </c>
      <c r="AG17" s="101">
        <v>40300</v>
      </c>
      <c r="AH17" s="101">
        <v>40300</v>
      </c>
      <c r="AI17" s="101">
        <v>40300</v>
      </c>
      <c r="AJ17" s="101">
        <v>40300</v>
      </c>
      <c r="AK17" s="101">
        <v>40300</v>
      </c>
      <c r="AL17" s="101">
        <v>40300</v>
      </c>
      <c r="AM17" s="101">
        <v>40300</v>
      </c>
      <c r="AN17" s="101">
        <v>40300</v>
      </c>
      <c r="AO17" s="101">
        <v>40300</v>
      </c>
      <c r="AP17" s="101">
        <v>40300</v>
      </c>
      <c r="AQ17" s="101">
        <v>40300</v>
      </c>
      <c r="AR17" s="101">
        <v>40300</v>
      </c>
      <c r="AS17" s="101">
        <v>40300</v>
      </c>
      <c r="AT17" s="101">
        <v>40300</v>
      </c>
      <c r="AU17" s="101">
        <v>40300</v>
      </c>
    </row>
    <row r="18" spans="1:47">
      <c r="A18" t="str">
        <f>IF('Plant Data'!A18="","",'Plant Data'!A18)</f>
        <v>SCPC U2 (SMC LIMAY U2)</v>
      </c>
      <c r="B18" s="101">
        <v>40300</v>
      </c>
      <c r="C18" s="101">
        <v>40300</v>
      </c>
      <c r="D18" s="101">
        <v>40300</v>
      </c>
      <c r="E18" s="101">
        <v>40300</v>
      </c>
      <c r="F18" s="101">
        <v>40300</v>
      </c>
      <c r="G18" s="101">
        <v>40300</v>
      </c>
      <c r="H18" s="101">
        <v>40300</v>
      </c>
      <c r="I18" s="101">
        <v>40300</v>
      </c>
      <c r="J18" s="101">
        <v>40300</v>
      </c>
      <c r="K18" s="101">
        <v>40300</v>
      </c>
      <c r="L18" s="101">
        <v>40300</v>
      </c>
      <c r="M18" s="101">
        <v>40300</v>
      </c>
      <c r="N18" s="101">
        <v>40300</v>
      </c>
      <c r="O18" s="101">
        <v>40300</v>
      </c>
      <c r="P18" s="101">
        <v>40300</v>
      </c>
      <c r="Q18" s="101">
        <v>40300</v>
      </c>
      <c r="R18" s="101">
        <v>40300</v>
      </c>
      <c r="S18" s="101">
        <v>40300</v>
      </c>
      <c r="T18" s="101">
        <v>40300</v>
      </c>
      <c r="U18" s="101">
        <v>40300</v>
      </c>
      <c r="V18" s="101">
        <v>40300</v>
      </c>
      <c r="W18" s="101">
        <v>40300</v>
      </c>
      <c r="X18" s="101">
        <v>40300</v>
      </c>
      <c r="Y18" s="101">
        <v>40300</v>
      </c>
      <c r="Z18" s="101">
        <v>40300</v>
      </c>
      <c r="AA18" s="101">
        <v>40300</v>
      </c>
      <c r="AB18" s="101">
        <v>40300</v>
      </c>
      <c r="AC18" s="101">
        <v>40300</v>
      </c>
      <c r="AD18" s="101">
        <v>40300</v>
      </c>
      <c r="AE18" s="101">
        <v>40300</v>
      </c>
      <c r="AF18" s="101">
        <v>40300</v>
      </c>
      <c r="AG18" s="101">
        <v>40300</v>
      </c>
      <c r="AH18" s="101">
        <v>40300</v>
      </c>
      <c r="AI18" s="101">
        <v>40300</v>
      </c>
      <c r="AJ18" s="101">
        <v>40300</v>
      </c>
      <c r="AK18" s="101">
        <v>40300</v>
      </c>
      <c r="AL18" s="101">
        <v>40300</v>
      </c>
      <c r="AM18" s="101">
        <v>40300</v>
      </c>
      <c r="AN18" s="101">
        <v>40300</v>
      </c>
      <c r="AO18" s="101">
        <v>40300</v>
      </c>
      <c r="AP18" s="101">
        <v>40300</v>
      </c>
      <c r="AQ18" s="101">
        <v>40300</v>
      </c>
      <c r="AR18" s="101">
        <v>40300</v>
      </c>
      <c r="AS18" s="101">
        <v>40300</v>
      </c>
      <c r="AT18" s="101">
        <v>40300</v>
      </c>
      <c r="AU18" s="101">
        <v>40300</v>
      </c>
    </row>
    <row r="19" spans="1:47">
      <c r="A19" t="str">
        <f>IF('Plant Data'!A19="","",'Plant Data'!A19)</f>
        <v>SCPC U3 (SMC LIMAY U3)</v>
      </c>
      <c r="B19" s="101">
        <v>40300</v>
      </c>
      <c r="C19" s="101">
        <v>40300</v>
      </c>
      <c r="D19" s="101">
        <v>40300</v>
      </c>
      <c r="E19" s="101">
        <v>40300</v>
      </c>
      <c r="F19" s="101">
        <v>40300</v>
      </c>
      <c r="G19" s="101">
        <v>40300</v>
      </c>
      <c r="H19" s="101">
        <v>40300</v>
      </c>
      <c r="I19" s="101">
        <v>40300</v>
      </c>
      <c r="J19" s="101">
        <v>40300</v>
      </c>
      <c r="K19" s="101">
        <v>40300</v>
      </c>
      <c r="L19" s="101">
        <v>40300</v>
      </c>
      <c r="M19" s="101">
        <v>40300</v>
      </c>
      <c r="N19" s="101">
        <v>40300</v>
      </c>
      <c r="O19" s="101">
        <v>40300</v>
      </c>
      <c r="P19" s="101">
        <v>40300</v>
      </c>
      <c r="Q19" s="101">
        <v>40300</v>
      </c>
      <c r="R19" s="101">
        <v>40300</v>
      </c>
      <c r="S19" s="101">
        <v>40300</v>
      </c>
      <c r="T19" s="101">
        <v>40300</v>
      </c>
      <c r="U19" s="101">
        <v>40300</v>
      </c>
      <c r="V19" s="101">
        <v>40300</v>
      </c>
      <c r="W19" s="101">
        <v>40300</v>
      </c>
      <c r="X19" s="101">
        <v>40300</v>
      </c>
      <c r="Y19" s="101">
        <v>40300</v>
      </c>
      <c r="Z19" s="101">
        <v>40300</v>
      </c>
      <c r="AA19" s="101">
        <v>40300</v>
      </c>
      <c r="AB19" s="101">
        <v>40300</v>
      </c>
      <c r="AC19" s="101">
        <v>40300</v>
      </c>
      <c r="AD19" s="101">
        <v>40300</v>
      </c>
      <c r="AE19" s="101">
        <v>40300</v>
      </c>
      <c r="AF19" s="101">
        <v>40300</v>
      </c>
      <c r="AG19" s="101">
        <v>40300</v>
      </c>
      <c r="AH19" s="101">
        <v>40300</v>
      </c>
      <c r="AI19" s="101">
        <v>40300</v>
      </c>
      <c r="AJ19" s="101">
        <v>40300</v>
      </c>
      <c r="AK19" s="101">
        <v>40300</v>
      </c>
      <c r="AL19" s="101">
        <v>40300</v>
      </c>
      <c r="AM19" s="101">
        <v>40300</v>
      </c>
      <c r="AN19" s="101">
        <v>40300</v>
      </c>
      <c r="AO19" s="101">
        <v>40300</v>
      </c>
      <c r="AP19" s="101">
        <v>40300</v>
      </c>
      <c r="AQ19" s="101">
        <v>40300</v>
      </c>
      <c r="AR19" s="101">
        <v>40300</v>
      </c>
      <c r="AS19" s="101">
        <v>40300</v>
      </c>
      <c r="AT19" s="101">
        <v>40300</v>
      </c>
      <c r="AU19" s="101">
        <v>40300</v>
      </c>
    </row>
    <row r="20" spans="1:47">
      <c r="A20" t="str">
        <f>IF('Plant Data'!A20="","",'Plant Data'!A20)</f>
        <v>SCPC U4 (SMC LIMAY U4)</v>
      </c>
      <c r="B20" s="101">
        <v>40300</v>
      </c>
      <c r="C20" s="101">
        <v>40300</v>
      </c>
      <c r="D20" s="101">
        <v>40300</v>
      </c>
      <c r="E20" s="101">
        <v>40300</v>
      </c>
      <c r="F20" s="101">
        <v>40300</v>
      </c>
      <c r="G20" s="101">
        <v>40300</v>
      </c>
      <c r="H20" s="101">
        <v>40300</v>
      </c>
      <c r="I20" s="101">
        <v>40300</v>
      </c>
      <c r="J20" s="101">
        <v>40300</v>
      </c>
      <c r="K20" s="101">
        <v>40300</v>
      </c>
      <c r="L20" s="101">
        <v>40300</v>
      </c>
      <c r="M20" s="101">
        <v>40300</v>
      </c>
      <c r="N20" s="101">
        <v>40300</v>
      </c>
      <c r="O20" s="101">
        <v>40300</v>
      </c>
      <c r="P20" s="101">
        <v>40300</v>
      </c>
      <c r="Q20" s="101">
        <v>40300</v>
      </c>
      <c r="R20" s="101">
        <v>40300</v>
      </c>
      <c r="S20" s="101">
        <v>40300</v>
      </c>
      <c r="T20" s="101">
        <v>40300</v>
      </c>
      <c r="U20" s="101">
        <v>40300</v>
      </c>
      <c r="V20" s="101">
        <v>40300</v>
      </c>
      <c r="W20" s="101">
        <v>40300</v>
      </c>
      <c r="X20" s="101">
        <v>40300</v>
      </c>
      <c r="Y20" s="101">
        <v>40300</v>
      </c>
      <c r="Z20" s="101">
        <v>40300</v>
      </c>
      <c r="AA20" s="101">
        <v>40300</v>
      </c>
      <c r="AB20" s="101">
        <v>40300</v>
      </c>
      <c r="AC20" s="101">
        <v>40300</v>
      </c>
      <c r="AD20" s="101">
        <v>40300</v>
      </c>
      <c r="AE20" s="101">
        <v>40300</v>
      </c>
      <c r="AF20" s="101">
        <v>40300</v>
      </c>
      <c r="AG20" s="101">
        <v>40300</v>
      </c>
      <c r="AH20" s="101">
        <v>40300</v>
      </c>
      <c r="AI20" s="101">
        <v>40300</v>
      </c>
      <c r="AJ20" s="101">
        <v>40300</v>
      </c>
      <c r="AK20" s="101">
        <v>40300</v>
      </c>
      <c r="AL20" s="101">
        <v>40300</v>
      </c>
      <c r="AM20" s="101">
        <v>40300</v>
      </c>
      <c r="AN20" s="101">
        <v>40300</v>
      </c>
      <c r="AO20" s="101">
        <v>40300</v>
      </c>
      <c r="AP20" s="101">
        <v>40300</v>
      </c>
      <c r="AQ20" s="101">
        <v>40300</v>
      </c>
      <c r="AR20" s="101">
        <v>40300</v>
      </c>
      <c r="AS20" s="101">
        <v>40300</v>
      </c>
      <c r="AT20" s="101">
        <v>40300</v>
      </c>
      <c r="AU20" s="101">
        <v>40300</v>
      </c>
    </row>
    <row r="21" spans="1:47">
      <c r="A21" t="str">
        <f>IF('Plant Data'!A21="","",'Plant Data'!A21)</f>
        <v>SLPGC U1</v>
      </c>
      <c r="B21" s="101">
        <v>40300</v>
      </c>
      <c r="C21" s="101">
        <v>40300</v>
      </c>
      <c r="D21" s="101">
        <v>40300</v>
      </c>
      <c r="E21" s="101">
        <v>40300</v>
      </c>
      <c r="F21" s="101">
        <v>40300</v>
      </c>
      <c r="G21" s="101">
        <v>40300</v>
      </c>
      <c r="H21" s="101">
        <v>40300</v>
      </c>
      <c r="I21" s="101">
        <v>40300</v>
      </c>
      <c r="J21" s="101">
        <v>40300</v>
      </c>
      <c r="K21" s="101">
        <v>40300</v>
      </c>
      <c r="L21" s="101">
        <v>40300</v>
      </c>
      <c r="M21" s="101">
        <v>40300</v>
      </c>
      <c r="N21" s="101">
        <v>40300</v>
      </c>
      <c r="O21" s="101">
        <v>40300</v>
      </c>
      <c r="P21" s="101">
        <v>40300</v>
      </c>
      <c r="Q21" s="101">
        <v>40300</v>
      </c>
      <c r="R21" s="101">
        <v>40300</v>
      </c>
      <c r="S21" s="101">
        <v>40300</v>
      </c>
      <c r="T21" s="101">
        <v>40300</v>
      </c>
      <c r="U21" s="101">
        <v>40300</v>
      </c>
      <c r="V21" s="101">
        <v>40300</v>
      </c>
      <c r="W21" s="101">
        <v>40300</v>
      </c>
      <c r="X21" s="101">
        <v>40300</v>
      </c>
      <c r="Y21" s="101">
        <v>40300</v>
      </c>
      <c r="Z21" s="101">
        <v>40300</v>
      </c>
      <c r="AA21" s="101">
        <v>40300</v>
      </c>
      <c r="AB21" s="101">
        <v>40300</v>
      </c>
      <c r="AC21" s="101">
        <v>40300</v>
      </c>
      <c r="AD21" s="101">
        <v>40300</v>
      </c>
      <c r="AE21" s="101">
        <v>40300</v>
      </c>
      <c r="AF21" s="101">
        <v>40300</v>
      </c>
      <c r="AG21" s="101">
        <v>40300</v>
      </c>
      <c r="AH21" s="101">
        <v>40300</v>
      </c>
      <c r="AI21" s="101">
        <v>40300</v>
      </c>
      <c r="AJ21" s="101">
        <v>40300</v>
      </c>
      <c r="AK21" s="101">
        <v>40300</v>
      </c>
      <c r="AL21" s="101">
        <v>40300</v>
      </c>
      <c r="AM21" s="101">
        <v>40300</v>
      </c>
      <c r="AN21" s="101">
        <v>40300</v>
      </c>
      <c r="AO21" s="101">
        <v>40300</v>
      </c>
      <c r="AP21" s="101">
        <v>40300</v>
      </c>
      <c r="AQ21" s="101">
        <v>40300</v>
      </c>
      <c r="AR21" s="101">
        <v>40300</v>
      </c>
      <c r="AS21" s="101">
        <v>40300</v>
      </c>
      <c r="AT21" s="101">
        <v>40300</v>
      </c>
      <c r="AU21" s="101">
        <v>40300</v>
      </c>
    </row>
    <row r="22" spans="1:47">
      <c r="A22" t="str">
        <f>IF('Plant Data'!A22="","",'Plant Data'!A22)</f>
        <v>SLPGC U2</v>
      </c>
      <c r="B22" s="101">
        <v>40300</v>
      </c>
      <c r="C22" s="101">
        <v>40300</v>
      </c>
      <c r="D22" s="101">
        <v>40300</v>
      </c>
      <c r="E22" s="101">
        <v>40300</v>
      </c>
      <c r="F22" s="101">
        <v>40300</v>
      </c>
      <c r="G22" s="101">
        <v>40300</v>
      </c>
      <c r="H22" s="101">
        <v>40300</v>
      </c>
      <c r="I22" s="101">
        <v>40300</v>
      </c>
      <c r="J22" s="101">
        <v>40300</v>
      </c>
      <c r="K22" s="101">
        <v>40300</v>
      </c>
      <c r="L22" s="101">
        <v>40300</v>
      </c>
      <c r="M22" s="101">
        <v>40300</v>
      </c>
      <c r="N22" s="101">
        <v>40300</v>
      </c>
      <c r="O22" s="101">
        <v>40300</v>
      </c>
      <c r="P22" s="101">
        <v>40300</v>
      </c>
      <c r="Q22" s="101">
        <v>40300</v>
      </c>
      <c r="R22" s="101">
        <v>40300</v>
      </c>
      <c r="S22" s="101">
        <v>40300</v>
      </c>
      <c r="T22" s="101">
        <v>40300</v>
      </c>
      <c r="U22" s="101">
        <v>40300</v>
      </c>
      <c r="V22" s="101">
        <v>40300</v>
      </c>
      <c r="W22" s="101">
        <v>40300</v>
      </c>
      <c r="X22" s="101">
        <v>40300</v>
      </c>
      <c r="Y22" s="101">
        <v>40300</v>
      </c>
      <c r="Z22" s="101">
        <v>40300</v>
      </c>
      <c r="AA22" s="101">
        <v>40300</v>
      </c>
      <c r="AB22" s="101">
        <v>40300</v>
      </c>
      <c r="AC22" s="101">
        <v>40300</v>
      </c>
      <c r="AD22" s="101">
        <v>40300</v>
      </c>
      <c r="AE22" s="101">
        <v>40300</v>
      </c>
      <c r="AF22" s="101">
        <v>40300</v>
      </c>
      <c r="AG22" s="101">
        <v>40300</v>
      </c>
      <c r="AH22" s="101">
        <v>40300</v>
      </c>
      <c r="AI22" s="101">
        <v>40300</v>
      </c>
      <c r="AJ22" s="101">
        <v>40300</v>
      </c>
      <c r="AK22" s="101">
        <v>40300</v>
      </c>
      <c r="AL22" s="101">
        <v>40300</v>
      </c>
      <c r="AM22" s="101">
        <v>40300</v>
      </c>
      <c r="AN22" s="101">
        <v>40300</v>
      </c>
      <c r="AO22" s="101">
        <v>40300</v>
      </c>
      <c r="AP22" s="101">
        <v>40300</v>
      </c>
      <c r="AQ22" s="101">
        <v>40300</v>
      </c>
      <c r="AR22" s="101">
        <v>40300</v>
      </c>
      <c r="AS22" s="101">
        <v>40300</v>
      </c>
      <c r="AT22" s="101">
        <v>40300</v>
      </c>
      <c r="AU22" s="101">
        <v>40300</v>
      </c>
    </row>
    <row r="23" spans="1:47">
      <c r="A23" t="str">
        <f>IF('Plant Data'!A23="","",'Plant Data'!A23)</f>
        <v>SLTEC PUTING BATO U1</v>
      </c>
      <c r="B23" s="101">
        <v>40300</v>
      </c>
      <c r="C23" s="101">
        <v>40300</v>
      </c>
      <c r="D23" s="101">
        <v>40300</v>
      </c>
      <c r="E23" s="101">
        <v>40300</v>
      </c>
      <c r="F23" s="101">
        <v>40300</v>
      </c>
      <c r="G23" s="101">
        <v>40300</v>
      </c>
      <c r="H23" s="101">
        <v>40300</v>
      </c>
      <c r="I23" s="101">
        <v>40300</v>
      </c>
      <c r="J23" s="101">
        <v>40300</v>
      </c>
      <c r="K23" s="101">
        <v>40300</v>
      </c>
      <c r="L23" s="101">
        <v>40300</v>
      </c>
      <c r="M23" s="101">
        <v>40300</v>
      </c>
      <c r="N23" s="101">
        <v>40300</v>
      </c>
      <c r="O23" s="101">
        <v>40300</v>
      </c>
      <c r="P23" s="101">
        <v>40300</v>
      </c>
      <c r="Q23" s="101">
        <v>40300</v>
      </c>
      <c r="R23" s="101">
        <v>40300</v>
      </c>
      <c r="S23" s="101">
        <v>40300</v>
      </c>
      <c r="T23" s="101">
        <v>40300</v>
      </c>
      <c r="U23" s="101">
        <v>40300</v>
      </c>
      <c r="V23" s="101">
        <v>40300</v>
      </c>
      <c r="W23" s="101">
        <v>40300</v>
      </c>
      <c r="X23" s="101">
        <v>40300</v>
      </c>
      <c r="Y23" s="101">
        <v>40300</v>
      </c>
      <c r="Z23" s="101">
        <v>40300</v>
      </c>
      <c r="AA23" s="101">
        <v>40300</v>
      </c>
      <c r="AB23" s="101">
        <v>40300</v>
      </c>
      <c r="AC23" s="101">
        <v>40300</v>
      </c>
      <c r="AD23" s="101">
        <v>40300</v>
      </c>
      <c r="AE23" s="101">
        <v>40300</v>
      </c>
      <c r="AF23" s="101">
        <v>40300</v>
      </c>
      <c r="AG23" s="101">
        <v>40300</v>
      </c>
      <c r="AH23" s="101">
        <v>40300</v>
      </c>
      <c r="AI23" s="101">
        <v>40300</v>
      </c>
      <c r="AJ23" s="101">
        <v>40300</v>
      </c>
      <c r="AK23" s="101">
        <v>40300</v>
      </c>
      <c r="AL23" s="101">
        <v>40300</v>
      </c>
      <c r="AM23" s="101">
        <v>40300</v>
      </c>
      <c r="AN23" s="101">
        <v>40300</v>
      </c>
      <c r="AO23" s="101">
        <v>40300</v>
      </c>
      <c r="AP23" s="101">
        <v>40300</v>
      </c>
      <c r="AQ23" s="101">
        <v>40300</v>
      </c>
      <c r="AR23" s="101">
        <v>40300</v>
      </c>
      <c r="AS23" s="101">
        <v>40300</v>
      </c>
      <c r="AT23" s="101">
        <v>40300</v>
      </c>
      <c r="AU23" s="101">
        <v>40300</v>
      </c>
    </row>
    <row r="24" spans="1:47">
      <c r="A24" t="str">
        <f>IF('Plant Data'!A24="","",'Plant Data'!A24)</f>
        <v>SLTEC PUTING BATO U2</v>
      </c>
      <c r="B24" s="101">
        <v>40300</v>
      </c>
      <c r="C24" s="101">
        <v>40300</v>
      </c>
      <c r="D24" s="101">
        <v>40300</v>
      </c>
      <c r="E24" s="101">
        <v>40300</v>
      </c>
      <c r="F24" s="101">
        <v>40300</v>
      </c>
      <c r="G24" s="101">
        <v>40300</v>
      </c>
      <c r="H24" s="101">
        <v>40300</v>
      </c>
      <c r="I24" s="101">
        <v>40300</v>
      </c>
      <c r="J24" s="101">
        <v>40300</v>
      </c>
      <c r="K24" s="101">
        <v>40300</v>
      </c>
      <c r="L24" s="101">
        <v>40300</v>
      </c>
      <c r="M24" s="101">
        <v>40300</v>
      </c>
      <c r="N24" s="101">
        <v>40300</v>
      </c>
      <c r="O24" s="101">
        <v>40300</v>
      </c>
      <c r="P24" s="101">
        <v>40300</v>
      </c>
      <c r="Q24" s="101">
        <v>40300</v>
      </c>
      <c r="R24" s="101">
        <v>40300</v>
      </c>
      <c r="S24" s="101">
        <v>40300</v>
      </c>
      <c r="T24" s="101">
        <v>40300</v>
      </c>
      <c r="U24" s="101">
        <v>40300</v>
      </c>
      <c r="V24" s="101">
        <v>40300</v>
      </c>
      <c r="W24" s="101">
        <v>40300</v>
      </c>
      <c r="X24" s="101">
        <v>40300</v>
      </c>
      <c r="Y24" s="101">
        <v>40300</v>
      </c>
      <c r="Z24" s="101">
        <v>40300</v>
      </c>
      <c r="AA24" s="101">
        <v>40300</v>
      </c>
      <c r="AB24" s="101">
        <v>40300</v>
      </c>
      <c r="AC24" s="101">
        <v>40300</v>
      </c>
      <c r="AD24" s="101">
        <v>40300</v>
      </c>
      <c r="AE24" s="101">
        <v>40300</v>
      </c>
      <c r="AF24" s="101">
        <v>40300</v>
      </c>
      <c r="AG24" s="101">
        <v>40300</v>
      </c>
      <c r="AH24" s="101">
        <v>40300</v>
      </c>
      <c r="AI24" s="101">
        <v>40300</v>
      </c>
      <c r="AJ24" s="101">
        <v>40300</v>
      </c>
      <c r="AK24" s="101">
        <v>40300</v>
      </c>
      <c r="AL24" s="101">
        <v>40300</v>
      </c>
      <c r="AM24" s="101">
        <v>40300</v>
      </c>
      <c r="AN24" s="101">
        <v>40300</v>
      </c>
      <c r="AO24" s="101">
        <v>40300</v>
      </c>
      <c r="AP24" s="101">
        <v>40300</v>
      </c>
      <c r="AQ24" s="101">
        <v>40300</v>
      </c>
      <c r="AR24" s="101">
        <v>40300</v>
      </c>
      <c r="AS24" s="101">
        <v>40300</v>
      </c>
      <c r="AT24" s="101">
        <v>40300</v>
      </c>
      <c r="AU24" s="101">
        <v>40300</v>
      </c>
    </row>
    <row r="25" spans="1:47">
      <c r="A25" t="str">
        <f>IF('Plant Data'!A25="","",'Plant Data'!A25)</f>
        <v>SUAL U1</v>
      </c>
      <c r="B25" s="101">
        <v>40300</v>
      </c>
      <c r="C25" s="101">
        <v>40300</v>
      </c>
      <c r="D25" s="101">
        <v>40300</v>
      </c>
      <c r="E25" s="101">
        <v>40300</v>
      </c>
      <c r="F25" s="101">
        <v>40300</v>
      </c>
      <c r="G25" s="101">
        <v>40300</v>
      </c>
      <c r="H25" s="101">
        <v>40300</v>
      </c>
      <c r="I25" s="101">
        <v>40300</v>
      </c>
      <c r="J25" s="101">
        <v>40300</v>
      </c>
      <c r="K25" s="101">
        <v>40300</v>
      </c>
      <c r="L25" s="101">
        <v>40300</v>
      </c>
      <c r="M25" s="101">
        <v>40300</v>
      </c>
      <c r="N25" s="101">
        <v>40300</v>
      </c>
      <c r="O25" s="101">
        <v>40300</v>
      </c>
      <c r="P25" s="101">
        <v>40300</v>
      </c>
      <c r="Q25" s="101">
        <v>40300</v>
      </c>
      <c r="R25" s="101">
        <v>40300</v>
      </c>
      <c r="S25" s="101">
        <v>40300</v>
      </c>
      <c r="T25" s="101">
        <v>40300</v>
      </c>
      <c r="U25" s="101">
        <v>40300</v>
      </c>
      <c r="V25" s="101">
        <v>40300</v>
      </c>
      <c r="W25" s="101">
        <v>40300</v>
      </c>
      <c r="X25" s="101">
        <v>40300</v>
      </c>
      <c r="Y25" s="101">
        <v>40300</v>
      </c>
      <c r="Z25" s="101">
        <v>40300</v>
      </c>
      <c r="AA25" s="101">
        <v>40300</v>
      </c>
      <c r="AB25" s="101">
        <v>40300</v>
      </c>
      <c r="AC25" s="101">
        <v>40300</v>
      </c>
      <c r="AD25" s="101">
        <v>40300</v>
      </c>
      <c r="AE25" s="101">
        <v>40300</v>
      </c>
      <c r="AF25" s="101">
        <v>40300</v>
      </c>
      <c r="AG25" s="101">
        <v>40300</v>
      </c>
      <c r="AH25" s="101">
        <v>40300</v>
      </c>
      <c r="AI25" s="101">
        <v>40300</v>
      </c>
      <c r="AJ25" s="101">
        <v>40300</v>
      </c>
      <c r="AK25" s="101">
        <v>40300</v>
      </c>
      <c r="AL25" s="101">
        <v>40300</v>
      </c>
      <c r="AM25" s="101">
        <v>40300</v>
      </c>
      <c r="AN25" s="101">
        <v>40300</v>
      </c>
      <c r="AO25" s="101">
        <v>40300</v>
      </c>
      <c r="AP25" s="101">
        <v>40300</v>
      </c>
      <c r="AQ25" s="101">
        <v>40300</v>
      </c>
      <c r="AR25" s="101">
        <v>40300</v>
      </c>
      <c r="AS25" s="101">
        <v>40300</v>
      </c>
      <c r="AT25" s="101">
        <v>40300</v>
      </c>
      <c r="AU25" s="101">
        <v>40300</v>
      </c>
    </row>
    <row r="26" spans="1:47">
      <c r="A26" t="str">
        <f>IF('Plant Data'!A26="","",'Plant Data'!A26)</f>
        <v>SUAL U2</v>
      </c>
      <c r="B26" s="101">
        <v>40300</v>
      </c>
      <c r="C26" s="101">
        <v>40300</v>
      </c>
      <c r="D26" s="101">
        <v>40300</v>
      </c>
      <c r="E26" s="101">
        <v>40300</v>
      </c>
      <c r="F26" s="101">
        <v>40300</v>
      </c>
      <c r="G26" s="101">
        <v>40300</v>
      </c>
      <c r="H26" s="101">
        <v>40300</v>
      </c>
      <c r="I26" s="101">
        <v>40300</v>
      </c>
      <c r="J26" s="101">
        <v>40300</v>
      </c>
      <c r="K26" s="101">
        <v>40300</v>
      </c>
      <c r="L26" s="101">
        <v>40300</v>
      </c>
      <c r="M26" s="101">
        <v>40300</v>
      </c>
      <c r="N26" s="101">
        <v>40300</v>
      </c>
      <c r="O26" s="101">
        <v>40300</v>
      </c>
      <c r="P26" s="101">
        <v>40300</v>
      </c>
      <c r="Q26" s="101">
        <v>40300</v>
      </c>
      <c r="R26" s="101">
        <v>40300</v>
      </c>
      <c r="S26" s="101">
        <v>40300</v>
      </c>
      <c r="T26" s="101">
        <v>40300</v>
      </c>
      <c r="U26" s="101">
        <v>40300</v>
      </c>
      <c r="V26" s="101">
        <v>40300</v>
      </c>
      <c r="W26" s="101">
        <v>40300</v>
      </c>
      <c r="X26" s="101">
        <v>40300</v>
      </c>
      <c r="Y26" s="101">
        <v>40300</v>
      </c>
      <c r="Z26" s="101">
        <v>40300</v>
      </c>
      <c r="AA26" s="101">
        <v>40300</v>
      </c>
      <c r="AB26" s="101">
        <v>40300</v>
      </c>
      <c r="AC26" s="101">
        <v>40300</v>
      </c>
      <c r="AD26" s="101">
        <v>40300</v>
      </c>
      <c r="AE26" s="101">
        <v>40300</v>
      </c>
      <c r="AF26" s="101">
        <v>40300</v>
      </c>
      <c r="AG26" s="101">
        <v>40300</v>
      </c>
      <c r="AH26" s="101">
        <v>40300</v>
      </c>
      <c r="AI26" s="101">
        <v>40300</v>
      </c>
      <c r="AJ26" s="101">
        <v>40300</v>
      </c>
      <c r="AK26" s="101">
        <v>40300</v>
      </c>
      <c r="AL26" s="101">
        <v>40300</v>
      </c>
      <c r="AM26" s="101">
        <v>40300</v>
      </c>
      <c r="AN26" s="101">
        <v>40300</v>
      </c>
      <c r="AO26" s="101">
        <v>40300</v>
      </c>
      <c r="AP26" s="101">
        <v>40300</v>
      </c>
      <c r="AQ26" s="101">
        <v>40300</v>
      </c>
      <c r="AR26" s="101">
        <v>40300</v>
      </c>
      <c r="AS26" s="101">
        <v>40300</v>
      </c>
      <c r="AT26" s="101">
        <v>40300</v>
      </c>
      <c r="AU26" s="101">
        <v>40300</v>
      </c>
    </row>
    <row r="27" spans="1:47">
      <c r="A27" t="str">
        <f>IF('Plant Data'!A27="","",'Plant Data'!A27)</f>
        <v>UPPC</v>
      </c>
      <c r="B27" s="101">
        <v>40300</v>
      </c>
      <c r="C27" s="101">
        <v>40300</v>
      </c>
      <c r="D27" s="101">
        <v>40300</v>
      </c>
      <c r="E27" s="101">
        <v>40300</v>
      </c>
      <c r="F27" s="101">
        <v>40300</v>
      </c>
      <c r="G27" s="101">
        <v>40300</v>
      </c>
      <c r="H27" s="101">
        <v>40300</v>
      </c>
      <c r="I27" s="101">
        <v>40300</v>
      </c>
      <c r="J27" s="101">
        <v>40300</v>
      </c>
      <c r="K27" s="101">
        <v>40300</v>
      </c>
      <c r="L27" s="101">
        <v>40300</v>
      </c>
      <c r="M27" s="101">
        <v>40300</v>
      </c>
      <c r="N27" s="101">
        <v>40300</v>
      </c>
      <c r="O27" s="101">
        <v>40300</v>
      </c>
      <c r="P27" s="101">
        <v>40300</v>
      </c>
      <c r="Q27" s="101">
        <v>40300</v>
      </c>
      <c r="R27" s="101">
        <v>40300</v>
      </c>
      <c r="S27" s="101">
        <v>40300</v>
      </c>
      <c r="T27" s="101">
        <v>40300</v>
      </c>
      <c r="U27" s="101">
        <v>40300</v>
      </c>
      <c r="V27" s="101">
        <v>40300</v>
      </c>
      <c r="W27" s="101">
        <v>40300</v>
      </c>
      <c r="X27" s="101">
        <v>40300</v>
      </c>
      <c r="Y27" s="101">
        <v>40300</v>
      </c>
      <c r="Z27" s="101">
        <v>40300</v>
      </c>
      <c r="AA27" s="101">
        <v>40300</v>
      </c>
      <c r="AB27" s="101">
        <v>40300</v>
      </c>
      <c r="AC27" s="101">
        <v>40300</v>
      </c>
      <c r="AD27" s="101">
        <v>40300</v>
      </c>
      <c r="AE27" s="101">
        <v>40300</v>
      </c>
      <c r="AF27" s="101">
        <v>40300</v>
      </c>
      <c r="AG27" s="101">
        <v>40300</v>
      </c>
      <c r="AH27" s="101">
        <v>40300</v>
      </c>
      <c r="AI27" s="101">
        <v>40300</v>
      </c>
      <c r="AJ27" s="101">
        <v>40300</v>
      </c>
      <c r="AK27" s="101">
        <v>40300</v>
      </c>
      <c r="AL27" s="101">
        <v>40300</v>
      </c>
      <c r="AM27" s="101">
        <v>40300</v>
      </c>
      <c r="AN27" s="101">
        <v>40300</v>
      </c>
      <c r="AO27" s="101">
        <v>40300</v>
      </c>
      <c r="AP27" s="101">
        <v>40300</v>
      </c>
      <c r="AQ27" s="101">
        <v>40300</v>
      </c>
      <c r="AR27" s="101">
        <v>40300</v>
      </c>
      <c r="AS27" s="101">
        <v>40300</v>
      </c>
      <c r="AT27" s="101">
        <v>40300</v>
      </c>
      <c r="AU27" s="101">
        <v>40300</v>
      </c>
    </row>
    <row r="28" spans="1:47">
      <c r="A28" t="str">
        <f>IF('Plant Data'!A28="","",'Plant Data'!A28)</f>
        <v>PETRON RSFFB</v>
      </c>
      <c r="B28" s="101">
        <v>40300</v>
      </c>
      <c r="C28" s="101">
        <v>40300</v>
      </c>
      <c r="D28" s="101">
        <v>40300</v>
      </c>
      <c r="E28" s="101">
        <v>40300</v>
      </c>
      <c r="F28" s="101">
        <v>40300</v>
      </c>
      <c r="G28" s="101">
        <v>40300</v>
      </c>
      <c r="H28" s="101">
        <v>40300</v>
      </c>
      <c r="I28" s="101">
        <v>40300</v>
      </c>
      <c r="J28" s="101">
        <v>40300</v>
      </c>
      <c r="K28" s="101">
        <v>40300</v>
      </c>
      <c r="L28" s="101">
        <v>40300</v>
      </c>
      <c r="M28" s="101">
        <v>40300</v>
      </c>
      <c r="N28" s="101">
        <v>40300</v>
      </c>
      <c r="O28" s="101">
        <v>40300</v>
      </c>
      <c r="P28" s="101">
        <v>40300</v>
      </c>
      <c r="Q28" s="101">
        <v>40300</v>
      </c>
      <c r="R28" s="101">
        <v>40300</v>
      </c>
      <c r="S28" s="101">
        <v>40300</v>
      </c>
      <c r="T28" s="101">
        <v>40300</v>
      </c>
      <c r="U28" s="101">
        <v>40300</v>
      </c>
      <c r="V28" s="101">
        <v>40300</v>
      </c>
      <c r="W28" s="101">
        <v>40300</v>
      </c>
      <c r="X28" s="101">
        <v>40300</v>
      </c>
      <c r="Y28" s="101">
        <v>40300</v>
      </c>
      <c r="Z28" s="101">
        <v>40300</v>
      </c>
      <c r="AA28" s="101">
        <v>40300</v>
      </c>
      <c r="AB28" s="101">
        <v>40300</v>
      </c>
      <c r="AC28" s="101">
        <v>40300</v>
      </c>
      <c r="AD28" s="101">
        <v>40300</v>
      </c>
      <c r="AE28" s="101">
        <v>40300</v>
      </c>
      <c r="AF28" s="101">
        <v>40300</v>
      </c>
      <c r="AG28" s="101">
        <v>40300</v>
      </c>
      <c r="AH28" s="101">
        <v>40300</v>
      </c>
      <c r="AI28" s="101">
        <v>40300</v>
      </c>
      <c r="AJ28" s="101">
        <v>40300</v>
      </c>
      <c r="AK28" s="101">
        <v>40300</v>
      </c>
      <c r="AL28" s="101">
        <v>40300</v>
      </c>
      <c r="AM28" s="101">
        <v>40300</v>
      </c>
      <c r="AN28" s="101">
        <v>40300</v>
      </c>
      <c r="AO28" s="101">
        <v>40300</v>
      </c>
      <c r="AP28" s="101">
        <v>40300</v>
      </c>
      <c r="AQ28" s="101">
        <v>40300</v>
      </c>
      <c r="AR28" s="101">
        <v>40300</v>
      </c>
      <c r="AS28" s="101">
        <v>40300</v>
      </c>
      <c r="AT28" s="101">
        <v>40300</v>
      </c>
      <c r="AU28" s="101">
        <v>40300</v>
      </c>
    </row>
    <row r="29" spans="1:47">
      <c r="A29" t="str">
        <f>IF('Plant Data'!A29="","",'Plant Data'!A29)</f>
        <v>CEDC U1</v>
      </c>
      <c r="B29" s="101">
        <v>40300</v>
      </c>
      <c r="C29" s="101">
        <v>40300</v>
      </c>
      <c r="D29" s="101">
        <v>40300</v>
      </c>
      <c r="E29" s="101">
        <v>40300</v>
      </c>
      <c r="F29" s="101">
        <v>40300</v>
      </c>
      <c r="G29" s="101">
        <v>40300</v>
      </c>
      <c r="H29" s="101">
        <v>40300</v>
      </c>
      <c r="I29" s="101">
        <v>40300</v>
      </c>
      <c r="J29" s="101">
        <v>40300</v>
      </c>
      <c r="K29" s="101">
        <v>40300</v>
      </c>
      <c r="L29" s="101">
        <v>40300</v>
      </c>
      <c r="M29" s="101">
        <v>40300</v>
      </c>
      <c r="N29" s="101">
        <v>40300</v>
      </c>
      <c r="O29" s="101">
        <v>40300</v>
      </c>
      <c r="P29" s="101">
        <v>40300</v>
      </c>
      <c r="Q29" s="101">
        <v>40300</v>
      </c>
      <c r="R29" s="101">
        <v>40300</v>
      </c>
      <c r="S29" s="101">
        <v>40300</v>
      </c>
      <c r="T29" s="101">
        <v>40300</v>
      </c>
      <c r="U29" s="101">
        <v>40300</v>
      </c>
      <c r="V29" s="101">
        <v>40300</v>
      </c>
      <c r="W29" s="101">
        <v>40300</v>
      </c>
      <c r="X29" s="101">
        <v>40300</v>
      </c>
      <c r="Y29" s="101">
        <v>40300</v>
      </c>
      <c r="Z29" s="101">
        <v>40300</v>
      </c>
      <c r="AA29" s="101">
        <v>40300</v>
      </c>
      <c r="AB29" s="101">
        <v>40300</v>
      </c>
      <c r="AC29" s="101">
        <v>40300</v>
      </c>
      <c r="AD29" s="101">
        <v>40300</v>
      </c>
      <c r="AE29" s="101">
        <v>40300</v>
      </c>
      <c r="AF29" s="101">
        <v>40300</v>
      </c>
      <c r="AG29" s="101">
        <v>40300</v>
      </c>
      <c r="AH29" s="101">
        <v>40300</v>
      </c>
      <c r="AI29" s="101">
        <v>40300</v>
      </c>
      <c r="AJ29" s="101">
        <v>40300</v>
      </c>
      <c r="AK29" s="101">
        <v>40300</v>
      </c>
      <c r="AL29" s="101">
        <v>40300</v>
      </c>
      <c r="AM29" s="101">
        <v>40300</v>
      </c>
      <c r="AN29" s="101">
        <v>40300</v>
      </c>
      <c r="AO29" s="101">
        <v>40300</v>
      </c>
      <c r="AP29" s="101">
        <v>40300</v>
      </c>
      <c r="AQ29" s="101">
        <v>40300</v>
      </c>
      <c r="AR29" s="101">
        <v>40300</v>
      </c>
      <c r="AS29" s="101">
        <v>40300</v>
      </c>
      <c r="AT29" s="101">
        <v>40300</v>
      </c>
      <c r="AU29" s="101">
        <v>40300</v>
      </c>
    </row>
    <row r="30" spans="1:47">
      <c r="A30" t="str">
        <f>IF('Plant Data'!A30="","",'Plant Data'!A30)</f>
        <v>CEDC U2</v>
      </c>
      <c r="B30" s="101">
        <v>40300</v>
      </c>
      <c r="C30" s="101">
        <v>40300</v>
      </c>
      <c r="D30" s="101">
        <v>40300</v>
      </c>
      <c r="E30" s="101">
        <v>40300</v>
      </c>
      <c r="F30" s="101">
        <v>40300</v>
      </c>
      <c r="G30" s="101">
        <v>40300</v>
      </c>
      <c r="H30" s="101">
        <v>40300</v>
      </c>
      <c r="I30" s="101">
        <v>40300</v>
      </c>
      <c r="J30" s="101">
        <v>40300</v>
      </c>
      <c r="K30" s="101">
        <v>40300</v>
      </c>
      <c r="L30" s="101">
        <v>40300</v>
      </c>
      <c r="M30" s="101">
        <v>40300</v>
      </c>
      <c r="N30" s="101">
        <v>40300</v>
      </c>
      <c r="O30" s="101">
        <v>40300</v>
      </c>
      <c r="P30" s="101">
        <v>40300</v>
      </c>
      <c r="Q30" s="101">
        <v>40300</v>
      </c>
      <c r="R30" s="101">
        <v>40300</v>
      </c>
      <c r="S30" s="101">
        <v>40300</v>
      </c>
      <c r="T30" s="101">
        <v>40300</v>
      </c>
      <c r="U30" s="101">
        <v>40300</v>
      </c>
      <c r="V30" s="101">
        <v>40300</v>
      </c>
      <c r="W30" s="101">
        <v>40300</v>
      </c>
      <c r="X30" s="101">
        <v>40300</v>
      </c>
      <c r="Y30" s="101">
        <v>40300</v>
      </c>
      <c r="Z30" s="101">
        <v>40300</v>
      </c>
      <c r="AA30" s="101">
        <v>40300</v>
      </c>
      <c r="AB30" s="101">
        <v>40300</v>
      </c>
      <c r="AC30" s="101">
        <v>40300</v>
      </c>
      <c r="AD30" s="101">
        <v>40300</v>
      </c>
      <c r="AE30" s="101">
        <v>40300</v>
      </c>
      <c r="AF30" s="101">
        <v>40300</v>
      </c>
      <c r="AG30" s="101">
        <v>40300</v>
      </c>
      <c r="AH30" s="101">
        <v>40300</v>
      </c>
      <c r="AI30" s="101">
        <v>40300</v>
      </c>
      <c r="AJ30" s="101">
        <v>40300</v>
      </c>
      <c r="AK30" s="101">
        <v>40300</v>
      </c>
      <c r="AL30" s="101">
        <v>40300</v>
      </c>
      <c r="AM30" s="101">
        <v>40300</v>
      </c>
      <c r="AN30" s="101">
        <v>40300</v>
      </c>
      <c r="AO30" s="101">
        <v>40300</v>
      </c>
      <c r="AP30" s="101">
        <v>40300</v>
      </c>
      <c r="AQ30" s="101">
        <v>40300</v>
      </c>
      <c r="AR30" s="101">
        <v>40300</v>
      </c>
      <c r="AS30" s="101">
        <v>40300</v>
      </c>
      <c r="AT30" s="101">
        <v>40300</v>
      </c>
      <c r="AU30" s="101">
        <v>40300</v>
      </c>
    </row>
    <row r="31" spans="1:47">
      <c r="A31" t="str">
        <f>IF('Plant Data'!A31="","",'Plant Data'!A31)</f>
        <v>CEDC U3</v>
      </c>
      <c r="B31" s="101">
        <v>40300</v>
      </c>
      <c r="C31" s="101">
        <v>40300</v>
      </c>
      <c r="D31" s="101">
        <v>40300</v>
      </c>
      <c r="E31" s="101">
        <v>40300</v>
      </c>
      <c r="F31" s="101">
        <v>40300</v>
      </c>
      <c r="G31" s="101">
        <v>40300</v>
      </c>
      <c r="H31" s="101">
        <v>40300</v>
      </c>
      <c r="I31" s="101">
        <v>40300</v>
      </c>
      <c r="J31" s="101">
        <v>40300</v>
      </c>
      <c r="K31" s="101">
        <v>40300</v>
      </c>
      <c r="L31" s="101">
        <v>40300</v>
      </c>
      <c r="M31" s="101">
        <v>40300</v>
      </c>
      <c r="N31" s="101">
        <v>40300</v>
      </c>
      <c r="O31" s="101">
        <v>40300</v>
      </c>
      <c r="P31" s="101">
        <v>40300</v>
      </c>
      <c r="Q31" s="101">
        <v>40300</v>
      </c>
      <c r="R31" s="101">
        <v>40300</v>
      </c>
      <c r="S31" s="101">
        <v>40300</v>
      </c>
      <c r="T31" s="101">
        <v>40300</v>
      </c>
      <c r="U31" s="101">
        <v>40300</v>
      </c>
      <c r="V31" s="101">
        <v>40300</v>
      </c>
      <c r="W31" s="101">
        <v>40300</v>
      </c>
      <c r="X31" s="101">
        <v>40300</v>
      </c>
      <c r="Y31" s="101">
        <v>40300</v>
      </c>
      <c r="Z31" s="101">
        <v>40300</v>
      </c>
      <c r="AA31" s="101">
        <v>40300</v>
      </c>
      <c r="AB31" s="101">
        <v>40300</v>
      </c>
      <c r="AC31" s="101">
        <v>40300</v>
      </c>
      <c r="AD31" s="101">
        <v>40300</v>
      </c>
      <c r="AE31" s="101">
        <v>40300</v>
      </c>
      <c r="AF31" s="101">
        <v>40300</v>
      </c>
      <c r="AG31" s="101">
        <v>40300</v>
      </c>
      <c r="AH31" s="101">
        <v>40300</v>
      </c>
      <c r="AI31" s="101">
        <v>40300</v>
      </c>
      <c r="AJ31" s="101">
        <v>40300</v>
      </c>
      <c r="AK31" s="101">
        <v>40300</v>
      </c>
      <c r="AL31" s="101">
        <v>40300</v>
      </c>
      <c r="AM31" s="101">
        <v>40300</v>
      </c>
      <c r="AN31" s="101">
        <v>40300</v>
      </c>
      <c r="AO31" s="101">
        <v>40300</v>
      </c>
      <c r="AP31" s="101">
        <v>40300</v>
      </c>
      <c r="AQ31" s="101">
        <v>40300</v>
      </c>
      <c r="AR31" s="101">
        <v>40300</v>
      </c>
      <c r="AS31" s="101">
        <v>40300</v>
      </c>
      <c r="AT31" s="101">
        <v>40300</v>
      </c>
      <c r="AU31" s="101">
        <v>40300</v>
      </c>
    </row>
    <row r="32" spans="1:47">
      <c r="A32" t="str">
        <f>IF('Plant Data'!A32="","",'Plant Data'!A32)</f>
        <v>KSPC U1</v>
      </c>
      <c r="B32" s="101">
        <v>40300</v>
      </c>
      <c r="C32" s="101">
        <v>40300</v>
      </c>
      <c r="D32" s="101">
        <v>40300</v>
      </c>
      <c r="E32" s="101">
        <v>40300</v>
      </c>
      <c r="F32" s="101">
        <v>40300</v>
      </c>
      <c r="G32" s="101">
        <v>40300</v>
      </c>
      <c r="H32" s="101">
        <v>40300</v>
      </c>
      <c r="I32" s="101">
        <v>40300</v>
      </c>
      <c r="J32" s="101">
        <v>40300</v>
      </c>
      <c r="K32" s="101">
        <v>40300</v>
      </c>
      <c r="L32" s="101">
        <v>40300</v>
      </c>
      <c r="M32" s="101">
        <v>40300</v>
      </c>
      <c r="N32" s="101">
        <v>40300</v>
      </c>
      <c r="O32" s="101">
        <v>40300</v>
      </c>
      <c r="P32" s="101">
        <v>40300</v>
      </c>
      <c r="Q32" s="101">
        <v>40300</v>
      </c>
      <c r="R32" s="101">
        <v>40300</v>
      </c>
      <c r="S32" s="101">
        <v>40300</v>
      </c>
      <c r="T32" s="101">
        <v>40300</v>
      </c>
      <c r="U32" s="101">
        <v>40300</v>
      </c>
      <c r="V32" s="101">
        <v>40300</v>
      </c>
      <c r="W32" s="101">
        <v>40300</v>
      </c>
      <c r="X32" s="101">
        <v>40300</v>
      </c>
      <c r="Y32" s="101">
        <v>40300</v>
      </c>
      <c r="Z32" s="101">
        <v>40300</v>
      </c>
      <c r="AA32" s="101">
        <v>40300</v>
      </c>
      <c r="AB32" s="101">
        <v>40300</v>
      </c>
      <c r="AC32" s="101">
        <v>40300</v>
      </c>
      <c r="AD32" s="101">
        <v>40300</v>
      </c>
      <c r="AE32" s="101">
        <v>40300</v>
      </c>
      <c r="AF32" s="101">
        <v>40300</v>
      </c>
      <c r="AG32" s="101">
        <v>40300</v>
      </c>
      <c r="AH32" s="101">
        <v>40300</v>
      </c>
      <c r="AI32" s="101">
        <v>40300</v>
      </c>
      <c r="AJ32" s="101">
        <v>40300</v>
      </c>
      <c r="AK32" s="101">
        <v>40300</v>
      </c>
      <c r="AL32" s="101">
        <v>40300</v>
      </c>
      <c r="AM32" s="101">
        <v>40300</v>
      </c>
      <c r="AN32" s="101">
        <v>40300</v>
      </c>
      <c r="AO32" s="101">
        <v>40300</v>
      </c>
      <c r="AP32" s="101">
        <v>40300</v>
      </c>
      <c r="AQ32" s="101">
        <v>40300</v>
      </c>
      <c r="AR32" s="101">
        <v>40300</v>
      </c>
      <c r="AS32" s="101">
        <v>40300</v>
      </c>
      <c r="AT32" s="101">
        <v>40300</v>
      </c>
      <c r="AU32" s="101">
        <v>40300</v>
      </c>
    </row>
    <row r="33" spans="1:47">
      <c r="A33" t="str">
        <f>IF('Plant Data'!A33="","",'Plant Data'!A33)</f>
        <v>KSPC U2</v>
      </c>
      <c r="B33" s="101">
        <v>40300</v>
      </c>
      <c r="C33" s="101">
        <v>40300</v>
      </c>
      <c r="D33" s="101">
        <v>40300</v>
      </c>
      <c r="E33" s="101">
        <v>40300</v>
      </c>
      <c r="F33" s="101">
        <v>40300</v>
      </c>
      <c r="G33" s="101">
        <v>40300</v>
      </c>
      <c r="H33" s="101">
        <v>40300</v>
      </c>
      <c r="I33" s="101">
        <v>40300</v>
      </c>
      <c r="J33" s="101">
        <v>40300</v>
      </c>
      <c r="K33" s="101">
        <v>40300</v>
      </c>
      <c r="L33" s="101">
        <v>40300</v>
      </c>
      <c r="M33" s="101">
        <v>40300</v>
      </c>
      <c r="N33" s="101">
        <v>40300</v>
      </c>
      <c r="O33" s="101">
        <v>40300</v>
      </c>
      <c r="P33" s="101">
        <v>40300</v>
      </c>
      <c r="Q33" s="101">
        <v>40300</v>
      </c>
      <c r="R33" s="101">
        <v>40300</v>
      </c>
      <c r="S33" s="101">
        <v>40300</v>
      </c>
      <c r="T33" s="101">
        <v>40300</v>
      </c>
      <c r="U33" s="101">
        <v>40300</v>
      </c>
      <c r="V33" s="101">
        <v>40300</v>
      </c>
      <c r="W33" s="101">
        <v>40300</v>
      </c>
      <c r="X33" s="101">
        <v>40300</v>
      </c>
      <c r="Y33" s="101">
        <v>40300</v>
      </c>
      <c r="Z33" s="101">
        <v>40300</v>
      </c>
      <c r="AA33" s="101">
        <v>40300</v>
      </c>
      <c r="AB33" s="101">
        <v>40300</v>
      </c>
      <c r="AC33" s="101">
        <v>40300</v>
      </c>
      <c r="AD33" s="101">
        <v>40300</v>
      </c>
      <c r="AE33" s="101">
        <v>40300</v>
      </c>
      <c r="AF33" s="101">
        <v>40300</v>
      </c>
      <c r="AG33" s="101">
        <v>40300</v>
      </c>
      <c r="AH33" s="101">
        <v>40300</v>
      </c>
      <c r="AI33" s="101">
        <v>40300</v>
      </c>
      <c r="AJ33" s="101">
        <v>40300</v>
      </c>
      <c r="AK33" s="101">
        <v>40300</v>
      </c>
      <c r="AL33" s="101">
        <v>40300</v>
      </c>
      <c r="AM33" s="101">
        <v>40300</v>
      </c>
      <c r="AN33" s="101">
        <v>40300</v>
      </c>
      <c r="AO33" s="101">
        <v>40300</v>
      </c>
      <c r="AP33" s="101">
        <v>40300</v>
      </c>
      <c r="AQ33" s="101">
        <v>40300</v>
      </c>
      <c r="AR33" s="101">
        <v>40300</v>
      </c>
      <c r="AS33" s="101">
        <v>40300</v>
      </c>
      <c r="AT33" s="101">
        <v>40300</v>
      </c>
      <c r="AU33" s="101">
        <v>40300</v>
      </c>
    </row>
    <row r="34" spans="1:47">
      <c r="A34" t="str">
        <f>IF('Plant Data'!A34="","",'Plant Data'!A34)</f>
        <v>PEDC U1</v>
      </c>
      <c r="B34" s="101">
        <v>40300</v>
      </c>
      <c r="C34" s="101">
        <v>40300</v>
      </c>
      <c r="D34" s="101">
        <v>40300</v>
      </c>
      <c r="E34" s="101">
        <v>40300</v>
      </c>
      <c r="F34" s="101">
        <v>40300</v>
      </c>
      <c r="G34" s="101">
        <v>40300</v>
      </c>
      <c r="H34" s="101">
        <v>40300</v>
      </c>
      <c r="I34" s="101">
        <v>40300</v>
      </c>
      <c r="J34" s="101">
        <v>40300</v>
      </c>
      <c r="K34" s="101">
        <v>40300</v>
      </c>
      <c r="L34" s="101">
        <v>40300</v>
      </c>
      <c r="M34" s="101">
        <v>40300</v>
      </c>
      <c r="N34" s="101">
        <v>40300</v>
      </c>
      <c r="O34" s="101">
        <v>40300</v>
      </c>
      <c r="P34" s="101">
        <v>40300</v>
      </c>
      <c r="Q34" s="101">
        <v>40300</v>
      </c>
      <c r="R34" s="101">
        <v>40300</v>
      </c>
      <c r="S34" s="101">
        <v>40300</v>
      </c>
      <c r="T34" s="101">
        <v>40300</v>
      </c>
      <c r="U34" s="101">
        <v>40300</v>
      </c>
      <c r="V34" s="101">
        <v>40300</v>
      </c>
      <c r="W34" s="101">
        <v>40300</v>
      </c>
      <c r="X34" s="101">
        <v>40300</v>
      </c>
      <c r="Y34" s="101">
        <v>40300</v>
      </c>
      <c r="Z34" s="101">
        <v>40300</v>
      </c>
      <c r="AA34" s="101">
        <v>40300</v>
      </c>
      <c r="AB34" s="101">
        <v>40300</v>
      </c>
      <c r="AC34" s="101">
        <v>40300</v>
      </c>
      <c r="AD34" s="101">
        <v>40300</v>
      </c>
      <c r="AE34" s="101">
        <v>40300</v>
      </c>
      <c r="AF34" s="101">
        <v>40300</v>
      </c>
      <c r="AG34" s="101">
        <v>40300</v>
      </c>
      <c r="AH34" s="101">
        <v>40300</v>
      </c>
      <c r="AI34" s="101">
        <v>40300</v>
      </c>
      <c r="AJ34" s="101">
        <v>40300</v>
      </c>
      <c r="AK34" s="101">
        <v>40300</v>
      </c>
      <c r="AL34" s="101">
        <v>40300</v>
      </c>
      <c r="AM34" s="101">
        <v>40300</v>
      </c>
      <c r="AN34" s="101">
        <v>40300</v>
      </c>
      <c r="AO34" s="101">
        <v>40300</v>
      </c>
      <c r="AP34" s="101">
        <v>40300</v>
      </c>
      <c r="AQ34" s="101">
        <v>40300</v>
      </c>
      <c r="AR34" s="101">
        <v>40300</v>
      </c>
      <c r="AS34" s="101">
        <v>40300</v>
      </c>
      <c r="AT34" s="101">
        <v>40300</v>
      </c>
      <c r="AU34" s="101">
        <v>40300</v>
      </c>
    </row>
    <row r="35" spans="1:47">
      <c r="A35" t="str">
        <f>IF('Plant Data'!A35="","",'Plant Data'!A35)</f>
        <v>PEDC U2</v>
      </c>
      <c r="B35" s="101">
        <v>40300</v>
      </c>
      <c r="C35" s="101">
        <v>40300</v>
      </c>
      <c r="D35" s="101">
        <v>40300</v>
      </c>
      <c r="E35" s="101">
        <v>40300</v>
      </c>
      <c r="F35" s="101">
        <v>40300</v>
      </c>
      <c r="G35" s="101">
        <v>40300</v>
      </c>
      <c r="H35" s="101">
        <v>40300</v>
      </c>
      <c r="I35" s="101">
        <v>40300</v>
      </c>
      <c r="J35" s="101">
        <v>40300</v>
      </c>
      <c r="K35" s="101">
        <v>40300</v>
      </c>
      <c r="L35" s="101">
        <v>40300</v>
      </c>
      <c r="M35" s="101">
        <v>40300</v>
      </c>
      <c r="N35" s="101">
        <v>40300</v>
      </c>
      <c r="O35" s="101">
        <v>40300</v>
      </c>
      <c r="P35" s="101">
        <v>40300</v>
      </c>
      <c r="Q35" s="101">
        <v>40300</v>
      </c>
      <c r="R35" s="101">
        <v>40300</v>
      </c>
      <c r="S35" s="101">
        <v>40300</v>
      </c>
      <c r="T35" s="101">
        <v>40300</v>
      </c>
      <c r="U35" s="101">
        <v>40300</v>
      </c>
      <c r="V35" s="101">
        <v>40300</v>
      </c>
      <c r="W35" s="101">
        <v>40300</v>
      </c>
      <c r="X35" s="101">
        <v>40300</v>
      </c>
      <c r="Y35" s="101">
        <v>40300</v>
      </c>
      <c r="Z35" s="101">
        <v>40300</v>
      </c>
      <c r="AA35" s="101">
        <v>40300</v>
      </c>
      <c r="AB35" s="101">
        <v>40300</v>
      </c>
      <c r="AC35" s="101">
        <v>40300</v>
      </c>
      <c r="AD35" s="101">
        <v>40300</v>
      </c>
      <c r="AE35" s="101">
        <v>40300</v>
      </c>
      <c r="AF35" s="101">
        <v>40300</v>
      </c>
      <c r="AG35" s="101">
        <v>40300</v>
      </c>
      <c r="AH35" s="101">
        <v>40300</v>
      </c>
      <c r="AI35" s="101">
        <v>40300</v>
      </c>
      <c r="AJ35" s="101">
        <v>40300</v>
      </c>
      <c r="AK35" s="101">
        <v>40300</v>
      </c>
      <c r="AL35" s="101">
        <v>40300</v>
      </c>
      <c r="AM35" s="101">
        <v>40300</v>
      </c>
      <c r="AN35" s="101">
        <v>40300</v>
      </c>
      <c r="AO35" s="101">
        <v>40300</v>
      </c>
      <c r="AP35" s="101">
        <v>40300</v>
      </c>
      <c r="AQ35" s="101">
        <v>40300</v>
      </c>
      <c r="AR35" s="101">
        <v>40300</v>
      </c>
      <c r="AS35" s="101">
        <v>40300</v>
      </c>
      <c r="AT35" s="101">
        <v>40300</v>
      </c>
      <c r="AU35" s="101">
        <v>40300</v>
      </c>
    </row>
    <row r="36" spans="1:47">
      <c r="A36" t="str">
        <f>IF('Plant Data'!A36="","",'Plant Data'!A36)</f>
        <v>PEDC U3</v>
      </c>
      <c r="B36" s="101">
        <v>40300</v>
      </c>
      <c r="C36" s="101">
        <v>40300</v>
      </c>
      <c r="D36" s="101">
        <v>40300</v>
      </c>
      <c r="E36" s="101">
        <v>40300</v>
      </c>
      <c r="F36" s="101">
        <v>40300</v>
      </c>
      <c r="G36" s="101">
        <v>40300</v>
      </c>
      <c r="H36" s="101">
        <v>40300</v>
      </c>
      <c r="I36" s="101">
        <v>40300</v>
      </c>
      <c r="J36" s="101">
        <v>40300</v>
      </c>
      <c r="K36" s="101">
        <v>40300</v>
      </c>
      <c r="L36" s="101">
        <v>40300</v>
      </c>
      <c r="M36" s="101">
        <v>40300</v>
      </c>
      <c r="N36" s="101">
        <v>40300</v>
      </c>
      <c r="O36" s="101">
        <v>40300</v>
      </c>
      <c r="P36" s="101">
        <v>40300</v>
      </c>
      <c r="Q36" s="101">
        <v>40300</v>
      </c>
      <c r="R36" s="101">
        <v>40300</v>
      </c>
      <c r="S36" s="101">
        <v>40300</v>
      </c>
      <c r="T36" s="101">
        <v>40300</v>
      </c>
      <c r="U36" s="101">
        <v>40300</v>
      </c>
      <c r="V36" s="101">
        <v>40300</v>
      </c>
      <c r="W36" s="101">
        <v>40300</v>
      </c>
      <c r="X36" s="101">
        <v>40300</v>
      </c>
      <c r="Y36" s="101">
        <v>40300</v>
      </c>
      <c r="Z36" s="101">
        <v>40300</v>
      </c>
      <c r="AA36" s="101">
        <v>40300</v>
      </c>
      <c r="AB36" s="101">
        <v>40300</v>
      </c>
      <c r="AC36" s="101">
        <v>40300</v>
      </c>
      <c r="AD36" s="101">
        <v>40300</v>
      </c>
      <c r="AE36" s="101">
        <v>40300</v>
      </c>
      <c r="AF36" s="101">
        <v>40300</v>
      </c>
      <c r="AG36" s="101">
        <v>40300</v>
      </c>
      <c r="AH36" s="101">
        <v>40300</v>
      </c>
      <c r="AI36" s="101">
        <v>40300</v>
      </c>
      <c r="AJ36" s="101">
        <v>40300</v>
      </c>
      <c r="AK36" s="101">
        <v>40300</v>
      </c>
      <c r="AL36" s="101">
        <v>40300</v>
      </c>
      <c r="AM36" s="101">
        <v>40300</v>
      </c>
      <c r="AN36" s="101">
        <v>40300</v>
      </c>
      <c r="AO36" s="101">
        <v>40300</v>
      </c>
      <c r="AP36" s="101">
        <v>40300</v>
      </c>
      <c r="AQ36" s="101">
        <v>40300</v>
      </c>
      <c r="AR36" s="101">
        <v>40300</v>
      </c>
      <c r="AS36" s="101">
        <v>40300</v>
      </c>
      <c r="AT36" s="101">
        <v>40300</v>
      </c>
      <c r="AU36" s="101">
        <v>40300</v>
      </c>
    </row>
    <row r="37" spans="1:47">
      <c r="A37" t="str">
        <f>IF('Plant Data'!A37="","",'Plant Data'!A37)</f>
        <v>PCPC U1</v>
      </c>
      <c r="B37" s="101">
        <v>40300</v>
      </c>
      <c r="C37" s="101">
        <v>40300</v>
      </c>
      <c r="D37" s="101">
        <v>40300</v>
      </c>
      <c r="E37" s="101">
        <v>40300</v>
      </c>
      <c r="F37" s="101">
        <v>40300</v>
      </c>
      <c r="G37" s="101">
        <v>40300</v>
      </c>
      <c r="H37" s="101">
        <v>40300</v>
      </c>
      <c r="I37" s="101">
        <v>40300</v>
      </c>
      <c r="J37" s="101">
        <v>40300</v>
      </c>
      <c r="K37" s="101">
        <v>40300</v>
      </c>
      <c r="L37" s="101">
        <v>40300</v>
      </c>
      <c r="M37" s="101">
        <v>40300</v>
      </c>
      <c r="N37" s="101">
        <v>40300</v>
      </c>
      <c r="O37" s="101">
        <v>40300</v>
      </c>
      <c r="P37" s="101">
        <v>40300</v>
      </c>
      <c r="Q37" s="101">
        <v>40300</v>
      </c>
      <c r="R37" s="101">
        <v>40300</v>
      </c>
      <c r="S37" s="101">
        <v>40300</v>
      </c>
      <c r="T37" s="101">
        <v>40300</v>
      </c>
      <c r="U37" s="101">
        <v>40300</v>
      </c>
      <c r="V37" s="101">
        <v>40300</v>
      </c>
      <c r="W37" s="101">
        <v>40300</v>
      </c>
      <c r="X37" s="101">
        <v>40300</v>
      </c>
      <c r="Y37" s="101">
        <v>40300</v>
      </c>
      <c r="Z37" s="101">
        <v>40300</v>
      </c>
      <c r="AA37" s="101">
        <v>40300</v>
      </c>
      <c r="AB37" s="101">
        <v>40300</v>
      </c>
      <c r="AC37" s="101">
        <v>40300</v>
      </c>
      <c r="AD37" s="101">
        <v>40300</v>
      </c>
      <c r="AE37" s="101">
        <v>40300</v>
      </c>
      <c r="AF37" s="101">
        <v>40300</v>
      </c>
      <c r="AG37" s="101">
        <v>40300</v>
      </c>
      <c r="AH37" s="101">
        <v>40300</v>
      </c>
      <c r="AI37" s="101">
        <v>40300</v>
      </c>
      <c r="AJ37" s="101">
        <v>40300</v>
      </c>
      <c r="AK37" s="101">
        <v>40300</v>
      </c>
      <c r="AL37" s="101">
        <v>40300</v>
      </c>
      <c r="AM37" s="101">
        <v>40300</v>
      </c>
      <c r="AN37" s="101">
        <v>40300</v>
      </c>
      <c r="AO37" s="101">
        <v>40300</v>
      </c>
      <c r="AP37" s="101">
        <v>40300</v>
      </c>
      <c r="AQ37" s="101">
        <v>40300</v>
      </c>
      <c r="AR37" s="101">
        <v>40300</v>
      </c>
      <c r="AS37" s="101">
        <v>40300</v>
      </c>
      <c r="AT37" s="101">
        <v>40300</v>
      </c>
      <c r="AU37" s="101">
        <v>40300</v>
      </c>
    </row>
    <row r="38" spans="1:47">
      <c r="A38" t="str">
        <f>IF('Plant Data'!A38="","",'Plant Data'!A38)</f>
        <v>TPC TG4 (Sangi Station)</v>
      </c>
      <c r="B38" s="101">
        <v>40300</v>
      </c>
      <c r="C38" s="101">
        <v>40300</v>
      </c>
      <c r="D38" s="101">
        <v>40300</v>
      </c>
      <c r="E38" s="101">
        <v>40300</v>
      </c>
      <c r="F38" s="101">
        <v>40300</v>
      </c>
      <c r="G38" s="101">
        <v>40300</v>
      </c>
      <c r="H38" s="101">
        <v>40300</v>
      </c>
      <c r="I38" s="101">
        <v>40300</v>
      </c>
      <c r="J38" s="101">
        <v>40300</v>
      </c>
      <c r="K38" s="101">
        <v>40300</v>
      </c>
      <c r="L38" s="101">
        <v>40300</v>
      </c>
      <c r="M38" s="101">
        <v>40300</v>
      </c>
      <c r="N38" s="101">
        <v>40300</v>
      </c>
      <c r="O38" s="101">
        <v>40300</v>
      </c>
      <c r="P38" s="101">
        <v>40300</v>
      </c>
      <c r="Q38" s="101">
        <v>40300</v>
      </c>
      <c r="R38" s="101">
        <v>40300</v>
      </c>
      <c r="S38" s="101">
        <v>40300</v>
      </c>
      <c r="T38" s="101">
        <v>40300</v>
      </c>
      <c r="U38" s="101">
        <v>40300</v>
      </c>
      <c r="V38" s="101">
        <v>40300</v>
      </c>
      <c r="W38" s="101">
        <v>40300</v>
      </c>
      <c r="X38" s="101">
        <v>40300</v>
      </c>
      <c r="Y38" s="101">
        <v>40300</v>
      </c>
      <c r="Z38" s="101">
        <v>40300</v>
      </c>
      <c r="AA38" s="101">
        <v>40300</v>
      </c>
      <c r="AB38" s="101">
        <v>40300</v>
      </c>
      <c r="AC38" s="101">
        <v>40300</v>
      </c>
      <c r="AD38" s="101">
        <v>40300</v>
      </c>
      <c r="AE38" s="101">
        <v>40300</v>
      </c>
      <c r="AF38" s="101">
        <v>40300</v>
      </c>
      <c r="AG38" s="101">
        <v>40300</v>
      </c>
      <c r="AH38" s="101">
        <v>40300</v>
      </c>
      <c r="AI38" s="101">
        <v>40300</v>
      </c>
      <c r="AJ38" s="101">
        <v>40300</v>
      </c>
      <c r="AK38" s="101">
        <v>40300</v>
      </c>
      <c r="AL38" s="101">
        <v>40300</v>
      </c>
      <c r="AM38" s="101">
        <v>40300</v>
      </c>
      <c r="AN38" s="101">
        <v>40300</v>
      </c>
      <c r="AO38" s="101">
        <v>40300</v>
      </c>
      <c r="AP38" s="101">
        <v>40300</v>
      </c>
      <c r="AQ38" s="101">
        <v>40300</v>
      </c>
      <c r="AR38" s="101">
        <v>40300</v>
      </c>
      <c r="AS38" s="101">
        <v>40300</v>
      </c>
      <c r="AT38" s="101">
        <v>40300</v>
      </c>
      <c r="AU38" s="101">
        <v>40300</v>
      </c>
    </row>
    <row r="39" spans="1:47">
      <c r="A39" t="str">
        <f>IF('Plant Data'!A39="","",'Plant Data'!A39)</f>
        <v>TPC TG5 (Sangi Station)</v>
      </c>
      <c r="B39" s="101">
        <v>40300</v>
      </c>
      <c r="C39" s="101">
        <v>40300</v>
      </c>
      <c r="D39" s="101">
        <v>40300</v>
      </c>
      <c r="E39" s="101">
        <v>40300</v>
      </c>
      <c r="F39" s="101">
        <v>40300</v>
      </c>
      <c r="G39" s="101">
        <v>40300</v>
      </c>
      <c r="H39" s="101">
        <v>40300</v>
      </c>
      <c r="I39" s="101">
        <v>40300</v>
      </c>
      <c r="J39" s="101">
        <v>40300</v>
      </c>
      <c r="K39" s="101">
        <v>40300</v>
      </c>
      <c r="L39" s="101">
        <v>40300</v>
      </c>
      <c r="M39" s="101">
        <v>40300</v>
      </c>
      <c r="N39" s="101">
        <v>40300</v>
      </c>
      <c r="O39" s="101">
        <v>40300</v>
      </c>
      <c r="P39" s="101">
        <v>40300</v>
      </c>
      <c r="Q39" s="101">
        <v>40300</v>
      </c>
      <c r="R39" s="101">
        <v>40300</v>
      </c>
      <c r="S39" s="101">
        <v>40300</v>
      </c>
      <c r="T39" s="101">
        <v>40300</v>
      </c>
      <c r="U39" s="101">
        <v>40300</v>
      </c>
      <c r="V39" s="101">
        <v>40300</v>
      </c>
      <c r="W39" s="101">
        <v>40300</v>
      </c>
      <c r="X39" s="101">
        <v>40300</v>
      </c>
      <c r="Y39" s="101">
        <v>40300</v>
      </c>
      <c r="Z39" s="101">
        <v>40300</v>
      </c>
      <c r="AA39" s="101">
        <v>40300</v>
      </c>
      <c r="AB39" s="101">
        <v>40300</v>
      </c>
      <c r="AC39" s="101">
        <v>40300</v>
      </c>
      <c r="AD39" s="101">
        <v>40300</v>
      </c>
      <c r="AE39" s="101">
        <v>40300</v>
      </c>
      <c r="AF39" s="101">
        <v>40300</v>
      </c>
      <c r="AG39" s="101">
        <v>40300</v>
      </c>
      <c r="AH39" s="101">
        <v>40300</v>
      </c>
      <c r="AI39" s="101">
        <v>40300</v>
      </c>
      <c r="AJ39" s="101">
        <v>40300</v>
      </c>
      <c r="AK39" s="101">
        <v>40300</v>
      </c>
      <c r="AL39" s="101">
        <v>40300</v>
      </c>
      <c r="AM39" s="101">
        <v>40300</v>
      </c>
      <c r="AN39" s="101">
        <v>40300</v>
      </c>
      <c r="AO39" s="101">
        <v>40300</v>
      </c>
      <c r="AP39" s="101">
        <v>40300</v>
      </c>
      <c r="AQ39" s="101">
        <v>40300</v>
      </c>
      <c r="AR39" s="101">
        <v>40300</v>
      </c>
      <c r="AS39" s="101">
        <v>40300</v>
      </c>
      <c r="AT39" s="101">
        <v>40300</v>
      </c>
      <c r="AU39" s="101">
        <v>40300</v>
      </c>
    </row>
    <row r="40" spans="1:47">
      <c r="A40" t="str">
        <f>IF('Plant Data'!A40="","",'Plant Data'!A40)</f>
        <v>TPC 1A Expansion</v>
      </c>
      <c r="B40" s="101">
        <v>40300</v>
      </c>
      <c r="C40" s="101">
        <v>40300</v>
      </c>
      <c r="D40" s="101">
        <v>40300</v>
      </c>
      <c r="E40" s="101">
        <v>40300</v>
      </c>
      <c r="F40" s="101">
        <v>40300</v>
      </c>
      <c r="G40" s="101">
        <v>40300</v>
      </c>
      <c r="H40" s="101">
        <v>40300</v>
      </c>
      <c r="I40" s="101">
        <v>40300</v>
      </c>
      <c r="J40" s="101">
        <v>40300</v>
      </c>
      <c r="K40" s="101">
        <v>40300</v>
      </c>
      <c r="L40" s="101">
        <v>40300</v>
      </c>
      <c r="M40" s="101">
        <v>40300</v>
      </c>
      <c r="N40" s="101">
        <v>40300</v>
      </c>
      <c r="O40" s="101">
        <v>40300</v>
      </c>
      <c r="P40" s="101">
        <v>40300</v>
      </c>
      <c r="Q40" s="101">
        <v>40300</v>
      </c>
      <c r="R40" s="101">
        <v>40300</v>
      </c>
      <c r="S40" s="101">
        <v>40300</v>
      </c>
      <c r="T40" s="101">
        <v>40300</v>
      </c>
      <c r="U40" s="101">
        <v>40300</v>
      </c>
      <c r="V40" s="101">
        <v>40300</v>
      </c>
      <c r="W40" s="101">
        <v>40300</v>
      </c>
      <c r="X40" s="101">
        <v>40300</v>
      </c>
      <c r="Y40" s="101">
        <v>40300</v>
      </c>
      <c r="Z40" s="101">
        <v>40300</v>
      </c>
      <c r="AA40" s="101">
        <v>40300</v>
      </c>
      <c r="AB40" s="101">
        <v>40300</v>
      </c>
      <c r="AC40" s="101">
        <v>40300</v>
      </c>
      <c r="AD40" s="101">
        <v>40300</v>
      </c>
      <c r="AE40" s="101">
        <v>40300</v>
      </c>
      <c r="AF40" s="101">
        <v>40300</v>
      </c>
      <c r="AG40" s="101">
        <v>40300</v>
      </c>
      <c r="AH40" s="101">
        <v>40300</v>
      </c>
      <c r="AI40" s="101">
        <v>40300</v>
      </c>
      <c r="AJ40" s="101">
        <v>40300</v>
      </c>
      <c r="AK40" s="101">
        <v>40300</v>
      </c>
      <c r="AL40" s="101">
        <v>40300</v>
      </c>
      <c r="AM40" s="101">
        <v>40300</v>
      </c>
      <c r="AN40" s="101">
        <v>40300</v>
      </c>
      <c r="AO40" s="101">
        <v>40300</v>
      </c>
      <c r="AP40" s="101">
        <v>40300</v>
      </c>
      <c r="AQ40" s="101">
        <v>40300</v>
      </c>
      <c r="AR40" s="101">
        <v>40300</v>
      </c>
      <c r="AS40" s="101">
        <v>40300</v>
      </c>
      <c r="AT40" s="101">
        <v>40300</v>
      </c>
      <c r="AU40" s="101">
        <v>40300</v>
      </c>
    </row>
    <row r="41" spans="1:47">
      <c r="A41" t="str">
        <f>IF('Plant Data'!A41="","",'Plant Data'!A41)</f>
        <v>TVI U1</v>
      </c>
      <c r="B41" s="101">
        <v>40300</v>
      </c>
      <c r="C41" s="101">
        <v>40300</v>
      </c>
      <c r="D41" s="101">
        <v>40300</v>
      </c>
      <c r="E41" s="101">
        <v>40300</v>
      </c>
      <c r="F41" s="101">
        <v>40300</v>
      </c>
      <c r="G41" s="101">
        <v>40300</v>
      </c>
      <c r="H41" s="101">
        <v>40300</v>
      </c>
      <c r="I41" s="101">
        <v>40300</v>
      </c>
      <c r="J41" s="101">
        <v>40300</v>
      </c>
      <c r="K41" s="101">
        <v>40300</v>
      </c>
      <c r="L41" s="101">
        <v>40300</v>
      </c>
      <c r="M41" s="101">
        <v>40300</v>
      </c>
      <c r="N41" s="101">
        <v>40300</v>
      </c>
      <c r="O41" s="101">
        <v>40300</v>
      </c>
      <c r="P41" s="101">
        <v>40300</v>
      </c>
      <c r="Q41" s="101">
        <v>40300</v>
      </c>
      <c r="R41" s="101">
        <v>40300</v>
      </c>
      <c r="S41" s="101">
        <v>40300</v>
      </c>
      <c r="T41" s="101">
        <v>40300</v>
      </c>
      <c r="U41" s="101">
        <v>40300</v>
      </c>
      <c r="V41" s="101">
        <v>40300</v>
      </c>
      <c r="W41" s="101">
        <v>40300</v>
      </c>
      <c r="X41" s="101">
        <v>40300</v>
      </c>
      <c r="Y41" s="101">
        <v>40300</v>
      </c>
      <c r="Z41" s="101">
        <v>40300</v>
      </c>
      <c r="AA41" s="101">
        <v>40300</v>
      </c>
      <c r="AB41" s="101">
        <v>40300</v>
      </c>
      <c r="AC41" s="101">
        <v>40300</v>
      </c>
      <c r="AD41" s="101">
        <v>40300</v>
      </c>
      <c r="AE41" s="101">
        <v>40300</v>
      </c>
      <c r="AF41" s="101">
        <v>40300</v>
      </c>
      <c r="AG41" s="101">
        <v>40300</v>
      </c>
      <c r="AH41" s="101">
        <v>40300</v>
      </c>
      <c r="AI41" s="101">
        <v>40300</v>
      </c>
      <c r="AJ41" s="101">
        <v>40300</v>
      </c>
      <c r="AK41" s="101">
        <v>40300</v>
      </c>
      <c r="AL41" s="101">
        <v>40300</v>
      </c>
      <c r="AM41" s="101">
        <v>40300</v>
      </c>
      <c r="AN41" s="101">
        <v>40300</v>
      </c>
      <c r="AO41" s="101">
        <v>40300</v>
      </c>
      <c r="AP41" s="101">
        <v>40300</v>
      </c>
      <c r="AQ41" s="101">
        <v>40300</v>
      </c>
      <c r="AR41" s="101">
        <v>40300</v>
      </c>
      <c r="AS41" s="101">
        <v>40300</v>
      </c>
      <c r="AT41" s="101">
        <v>40300</v>
      </c>
      <c r="AU41" s="101">
        <v>40300</v>
      </c>
    </row>
    <row r="42" spans="1:47">
      <c r="A42" t="str">
        <f>IF('Plant Data'!A42="","",'Plant Data'!A42)</f>
        <v>TVI U2</v>
      </c>
      <c r="B42" s="101">
        <v>40300</v>
      </c>
      <c r="C42" s="101">
        <v>40300</v>
      </c>
      <c r="D42" s="101">
        <v>40300</v>
      </c>
      <c r="E42" s="101">
        <v>40300</v>
      </c>
      <c r="F42" s="101">
        <v>40300</v>
      </c>
      <c r="G42" s="101">
        <v>40300</v>
      </c>
      <c r="H42" s="101">
        <v>40300</v>
      </c>
      <c r="I42" s="101">
        <v>40300</v>
      </c>
      <c r="J42" s="101">
        <v>40300</v>
      </c>
      <c r="K42" s="101">
        <v>40300</v>
      </c>
      <c r="L42" s="101">
        <v>40300</v>
      </c>
      <c r="M42" s="101">
        <v>40300</v>
      </c>
      <c r="N42" s="101">
        <v>40300</v>
      </c>
      <c r="O42" s="101">
        <v>40300</v>
      </c>
      <c r="P42" s="101">
        <v>40300</v>
      </c>
      <c r="Q42" s="101">
        <v>40300</v>
      </c>
      <c r="R42" s="101">
        <v>40300</v>
      </c>
      <c r="S42" s="101">
        <v>40300</v>
      </c>
      <c r="T42" s="101">
        <v>40300</v>
      </c>
      <c r="U42" s="101">
        <v>40300</v>
      </c>
      <c r="V42" s="101">
        <v>40300</v>
      </c>
      <c r="W42" s="101">
        <v>40300</v>
      </c>
      <c r="X42" s="101">
        <v>40300</v>
      </c>
      <c r="Y42" s="101">
        <v>40300</v>
      </c>
      <c r="Z42" s="101">
        <v>40300</v>
      </c>
      <c r="AA42" s="101">
        <v>40300</v>
      </c>
      <c r="AB42" s="101">
        <v>40300</v>
      </c>
      <c r="AC42" s="101">
        <v>40300</v>
      </c>
      <c r="AD42" s="101">
        <v>40300</v>
      </c>
      <c r="AE42" s="101">
        <v>40300</v>
      </c>
      <c r="AF42" s="101">
        <v>40300</v>
      </c>
      <c r="AG42" s="101">
        <v>40300</v>
      </c>
      <c r="AH42" s="101">
        <v>40300</v>
      </c>
      <c r="AI42" s="101">
        <v>40300</v>
      </c>
      <c r="AJ42" s="101">
        <v>40300</v>
      </c>
      <c r="AK42" s="101">
        <v>40300</v>
      </c>
      <c r="AL42" s="101">
        <v>40300</v>
      </c>
      <c r="AM42" s="101">
        <v>40300</v>
      </c>
      <c r="AN42" s="101">
        <v>40300</v>
      </c>
      <c r="AO42" s="101">
        <v>40300</v>
      </c>
      <c r="AP42" s="101">
        <v>40300</v>
      </c>
      <c r="AQ42" s="101">
        <v>40300</v>
      </c>
      <c r="AR42" s="101">
        <v>40300</v>
      </c>
      <c r="AS42" s="101">
        <v>40300</v>
      </c>
      <c r="AT42" s="101">
        <v>40300</v>
      </c>
      <c r="AU42" s="101">
        <v>40300</v>
      </c>
    </row>
    <row r="43" spans="1:47">
      <c r="A43" t="str">
        <f>IF('Plant Data'!A43="","",'Plant Data'!A43)</f>
        <v>FDC MISAMIS U1</v>
      </c>
      <c r="B43" s="101">
        <v>40300</v>
      </c>
      <c r="C43" s="101">
        <v>40300</v>
      </c>
      <c r="D43" s="101">
        <v>40300</v>
      </c>
      <c r="E43" s="101">
        <v>40300</v>
      </c>
      <c r="F43" s="101">
        <v>40300</v>
      </c>
      <c r="G43" s="101">
        <v>40300</v>
      </c>
      <c r="H43" s="101">
        <v>40300</v>
      </c>
      <c r="I43" s="101">
        <v>40300</v>
      </c>
      <c r="J43" s="101">
        <v>40300</v>
      </c>
      <c r="K43" s="101">
        <v>40300</v>
      </c>
      <c r="L43" s="101">
        <v>40300</v>
      </c>
      <c r="M43" s="101">
        <v>40300</v>
      </c>
      <c r="N43" s="101">
        <v>40300</v>
      </c>
      <c r="O43" s="101">
        <v>40300</v>
      </c>
      <c r="P43" s="101">
        <v>40300</v>
      </c>
      <c r="Q43" s="101">
        <v>40300</v>
      </c>
      <c r="R43" s="101">
        <v>40300</v>
      </c>
      <c r="S43" s="101">
        <v>40300</v>
      </c>
      <c r="T43" s="101">
        <v>40300</v>
      </c>
      <c r="U43" s="101">
        <v>40300</v>
      </c>
      <c r="V43" s="101">
        <v>40300</v>
      </c>
      <c r="W43" s="101">
        <v>40300</v>
      </c>
      <c r="X43" s="101">
        <v>40300</v>
      </c>
      <c r="Y43" s="101">
        <v>40300</v>
      </c>
      <c r="Z43" s="101">
        <v>40300</v>
      </c>
      <c r="AA43" s="101">
        <v>40300</v>
      </c>
      <c r="AB43" s="101">
        <v>40300</v>
      </c>
      <c r="AC43" s="101">
        <v>40300</v>
      </c>
      <c r="AD43" s="101">
        <v>40300</v>
      </c>
      <c r="AE43" s="101">
        <v>40300</v>
      </c>
      <c r="AF43" s="101">
        <v>40300</v>
      </c>
      <c r="AG43" s="101">
        <v>40300</v>
      </c>
      <c r="AH43" s="101">
        <v>40300</v>
      </c>
      <c r="AI43" s="101">
        <v>40300</v>
      </c>
      <c r="AJ43" s="101">
        <v>40300</v>
      </c>
      <c r="AK43" s="101">
        <v>40300</v>
      </c>
      <c r="AL43" s="101">
        <v>40300</v>
      </c>
      <c r="AM43" s="101">
        <v>40300</v>
      </c>
      <c r="AN43" s="101">
        <v>40300</v>
      </c>
      <c r="AO43" s="101">
        <v>40300</v>
      </c>
      <c r="AP43" s="101">
        <v>40300</v>
      </c>
      <c r="AQ43" s="101">
        <v>40300</v>
      </c>
      <c r="AR43" s="101">
        <v>40300</v>
      </c>
      <c r="AS43" s="101">
        <v>40300</v>
      </c>
      <c r="AT43" s="101">
        <v>40300</v>
      </c>
      <c r="AU43" s="101">
        <v>40300</v>
      </c>
    </row>
    <row r="44" spans="1:47">
      <c r="A44" t="str">
        <f>IF('Plant Data'!A44="","",'Plant Data'!A44)</f>
        <v>FDC MISAMIS U2</v>
      </c>
      <c r="B44" s="101">
        <v>40300</v>
      </c>
      <c r="C44" s="101">
        <v>40300</v>
      </c>
      <c r="D44" s="101">
        <v>40300</v>
      </c>
      <c r="E44" s="101">
        <v>40300</v>
      </c>
      <c r="F44" s="101">
        <v>40300</v>
      </c>
      <c r="G44" s="101">
        <v>40300</v>
      </c>
      <c r="H44" s="101">
        <v>40300</v>
      </c>
      <c r="I44" s="101">
        <v>40300</v>
      </c>
      <c r="J44" s="101">
        <v>40300</v>
      </c>
      <c r="K44" s="101">
        <v>40300</v>
      </c>
      <c r="L44" s="101">
        <v>40300</v>
      </c>
      <c r="M44" s="101">
        <v>40300</v>
      </c>
      <c r="N44" s="101">
        <v>40300</v>
      </c>
      <c r="O44" s="101">
        <v>40300</v>
      </c>
      <c r="P44" s="101">
        <v>40300</v>
      </c>
      <c r="Q44" s="101">
        <v>40300</v>
      </c>
      <c r="R44" s="101">
        <v>40300</v>
      </c>
      <c r="S44" s="101">
        <v>40300</v>
      </c>
      <c r="T44" s="101">
        <v>40300</v>
      </c>
      <c r="U44" s="101">
        <v>40300</v>
      </c>
      <c r="V44" s="101">
        <v>40300</v>
      </c>
      <c r="W44" s="101">
        <v>40300</v>
      </c>
      <c r="X44" s="101">
        <v>40300</v>
      </c>
      <c r="Y44" s="101">
        <v>40300</v>
      </c>
      <c r="Z44" s="101">
        <v>40300</v>
      </c>
      <c r="AA44" s="101">
        <v>40300</v>
      </c>
      <c r="AB44" s="101">
        <v>40300</v>
      </c>
      <c r="AC44" s="101">
        <v>40300</v>
      </c>
      <c r="AD44" s="101">
        <v>40300</v>
      </c>
      <c r="AE44" s="101">
        <v>40300</v>
      </c>
      <c r="AF44" s="101">
        <v>40300</v>
      </c>
      <c r="AG44" s="101">
        <v>40300</v>
      </c>
      <c r="AH44" s="101">
        <v>40300</v>
      </c>
      <c r="AI44" s="101">
        <v>40300</v>
      </c>
      <c r="AJ44" s="101">
        <v>40300</v>
      </c>
      <c r="AK44" s="101">
        <v>40300</v>
      </c>
      <c r="AL44" s="101">
        <v>40300</v>
      </c>
      <c r="AM44" s="101">
        <v>40300</v>
      </c>
      <c r="AN44" s="101">
        <v>40300</v>
      </c>
      <c r="AO44" s="101">
        <v>40300</v>
      </c>
      <c r="AP44" s="101">
        <v>40300</v>
      </c>
      <c r="AQ44" s="101">
        <v>40300</v>
      </c>
      <c r="AR44" s="101">
        <v>40300</v>
      </c>
      <c r="AS44" s="101">
        <v>40300</v>
      </c>
      <c r="AT44" s="101">
        <v>40300</v>
      </c>
      <c r="AU44" s="101">
        <v>40300</v>
      </c>
    </row>
    <row r="45" spans="1:47">
      <c r="A45" t="str">
        <f>IF('Plant Data'!A45="","",'Plant Data'!A45)</f>
        <v>FDC MISAMIS U3</v>
      </c>
      <c r="B45" s="101">
        <v>40300</v>
      </c>
      <c r="C45" s="101">
        <v>40300</v>
      </c>
      <c r="D45" s="101">
        <v>40300</v>
      </c>
      <c r="E45" s="101">
        <v>40300</v>
      </c>
      <c r="F45" s="101">
        <v>40300</v>
      </c>
      <c r="G45" s="101">
        <v>40300</v>
      </c>
      <c r="H45" s="101">
        <v>40300</v>
      </c>
      <c r="I45" s="101">
        <v>40300</v>
      </c>
      <c r="J45" s="101">
        <v>40300</v>
      </c>
      <c r="K45" s="101">
        <v>40300</v>
      </c>
      <c r="L45" s="101">
        <v>40300</v>
      </c>
      <c r="M45" s="101">
        <v>40300</v>
      </c>
      <c r="N45" s="101">
        <v>40300</v>
      </c>
      <c r="O45" s="101">
        <v>40300</v>
      </c>
      <c r="P45" s="101">
        <v>40300</v>
      </c>
      <c r="Q45" s="101">
        <v>40300</v>
      </c>
      <c r="R45" s="101">
        <v>40300</v>
      </c>
      <c r="S45" s="101">
        <v>40300</v>
      </c>
      <c r="T45" s="101">
        <v>40300</v>
      </c>
      <c r="U45" s="101">
        <v>40300</v>
      </c>
      <c r="V45" s="101">
        <v>40300</v>
      </c>
      <c r="W45" s="101">
        <v>40300</v>
      </c>
      <c r="X45" s="101">
        <v>40300</v>
      </c>
      <c r="Y45" s="101">
        <v>40300</v>
      </c>
      <c r="Z45" s="101">
        <v>40300</v>
      </c>
      <c r="AA45" s="101">
        <v>40300</v>
      </c>
      <c r="AB45" s="101">
        <v>40300</v>
      </c>
      <c r="AC45" s="101">
        <v>40300</v>
      </c>
      <c r="AD45" s="101">
        <v>40300</v>
      </c>
      <c r="AE45" s="101">
        <v>40300</v>
      </c>
      <c r="AF45" s="101">
        <v>40300</v>
      </c>
      <c r="AG45" s="101">
        <v>40300</v>
      </c>
      <c r="AH45" s="101">
        <v>40300</v>
      </c>
      <c r="AI45" s="101">
        <v>40300</v>
      </c>
      <c r="AJ45" s="101">
        <v>40300</v>
      </c>
      <c r="AK45" s="101">
        <v>40300</v>
      </c>
      <c r="AL45" s="101">
        <v>40300</v>
      </c>
      <c r="AM45" s="101">
        <v>40300</v>
      </c>
      <c r="AN45" s="101">
        <v>40300</v>
      </c>
      <c r="AO45" s="101">
        <v>40300</v>
      </c>
      <c r="AP45" s="101">
        <v>40300</v>
      </c>
      <c r="AQ45" s="101">
        <v>40300</v>
      </c>
      <c r="AR45" s="101">
        <v>40300</v>
      </c>
      <c r="AS45" s="101">
        <v>40300</v>
      </c>
      <c r="AT45" s="101">
        <v>40300</v>
      </c>
      <c r="AU45" s="101">
        <v>40300</v>
      </c>
    </row>
    <row r="46" spans="1:47">
      <c r="A46" t="str">
        <f>IF('Plant Data'!A46="","",'Plant Data'!A46)</f>
        <v>MINDANAO COAL U1</v>
      </c>
      <c r="B46" s="101">
        <v>40300</v>
      </c>
      <c r="C46" s="101">
        <v>40300</v>
      </c>
      <c r="D46" s="101">
        <v>40300</v>
      </c>
      <c r="E46" s="101">
        <v>40300</v>
      </c>
      <c r="F46" s="101">
        <v>40300</v>
      </c>
      <c r="G46" s="101">
        <v>40300</v>
      </c>
      <c r="H46" s="101">
        <v>40300</v>
      </c>
      <c r="I46" s="101">
        <v>40300</v>
      </c>
      <c r="J46" s="101">
        <v>40300</v>
      </c>
      <c r="K46" s="101">
        <v>40300</v>
      </c>
      <c r="L46" s="101">
        <v>40300</v>
      </c>
      <c r="M46" s="101">
        <v>40300</v>
      </c>
      <c r="N46" s="101">
        <v>40300</v>
      </c>
      <c r="O46" s="101">
        <v>40300</v>
      </c>
      <c r="P46" s="101">
        <v>40300</v>
      </c>
      <c r="Q46" s="101">
        <v>40300</v>
      </c>
      <c r="R46" s="101">
        <v>40300</v>
      </c>
      <c r="S46" s="101">
        <v>40300</v>
      </c>
      <c r="T46" s="101">
        <v>40300</v>
      </c>
      <c r="U46" s="101">
        <v>40300</v>
      </c>
      <c r="V46" s="101">
        <v>40300</v>
      </c>
      <c r="W46" s="101">
        <v>40300</v>
      </c>
      <c r="X46" s="101">
        <v>40300</v>
      </c>
      <c r="Y46" s="101">
        <v>40300</v>
      </c>
      <c r="Z46" s="101">
        <v>40300</v>
      </c>
      <c r="AA46" s="101">
        <v>40300</v>
      </c>
      <c r="AB46" s="101">
        <v>40300</v>
      </c>
      <c r="AC46" s="101">
        <v>40300</v>
      </c>
      <c r="AD46" s="101">
        <v>40300</v>
      </c>
      <c r="AE46" s="101">
        <v>40300</v>
      </c>
      <c r="AF46" s="101">
        <v>40300</v>
      </c>
      <c r="AG46" s="101">
        <v>40300</v>
      </c>
      <c r="AH46" s="101">
        <v>40300</v>
      </c>
      <c r="AI46" s="101">
        <v>40300</v>
      </c>
      <c r="AJ46" s="101">
        <v>40300</v>
      </c>
      <c r="AK46" s="101">
        <v>40300</v>
      </c>
      <c r="AL46" s="101">
        <v>40300</v>
      </c>
      <c r="AM46" s="101">
        <v>40300</v>
      </c>
      <c r="AN46" s="101">
        <v>40300</v>
      </c>
      <c r="AO46" s="101">
        <v>40300</v>
      </c>
      <c r="AP46" s="101">
        <v>40300</v>
      </c>
      <c r="AQ46" s="101">
        <v>40300</v>
      </c>
      <c r="AR46" s="101">
        <v>40300</v>
      </c>
      <c r="AS46" s="101">
        <v>40300</v>
      </c>
      <c r="AT46" s="101">
        <v>40300</v>
      </c>
      <c r="AU46" s="101">
        <v>40300</v>
      </c>
    </row>
    <row r="47" spans="1:47">
      <c r="A47" t="str">
        <f>IF('Plant Data'!A47="","",'Plant Data'!A47)</f>
        <v>MINDANAO COAL U2</v>
      </c>
      <c r="B47" s="101">
        <v>40300</v>
      </c>
      <c r="C47" s="101">
        <v>40300</v>
      </c>
      <c r="D47" s="101">
        <v>40300</v>
      </c>
      <c r="E47" s="101">
        <v>40300</v>
      </c>
      <c r="F47" s="101">
        <v>40300</v>
      </c>
      <c r="G47" s="101">
        <v>40300</v>
      </c>
      <c r="H47" s="101">
        <v>40300</v>
      </c>
      <c r="I47" s="101">
        <v>40300</v>
      </c>
      <c r="J47" s="101">
        <v>40300</v>
      </c>
      <c r="K47" s="101">
        <v>40300</v>
      </c>
      <c r="L47" s="101">
        <v>40300</v>
      </c>
      <c r="M47" s="101">
        <v>40300</v>
      </c>
      <c r="N47" s="101">
        <v>40300</v>
      </c>
      <c r="O47" s="101">
        <v>40300</v>
      </c>
      <c r="P47" s="101">
        <v>40300</v>
      </c>
      <c r="Q47" s="101">
        <v>40300</v>
      </c>
      <c r="R47" s="101">
        <v>40300</v>
      </c>
      <c r="S47" s="101">
        <v>40300</v>
      </c>
      <c r="T47" s="101">
        <v>40300</v>
      </c>
      <c r="U47" s="101">
        <v>40300</v>
      </c>
      <c r="V47" s="101">
        <v>40300</v>
      </c>
      <c r="W47" s="101">
        <v>40300</v>
      </c>
      <c r="X47" s="101">
        <v>40300</v>
      </c>
      <c r="Y47" s="101">
        <v>40300</v>
      </c>
      <c r="Z47" s="101">
        <v>40300</v>
      </c>
      <c r="AA47" s="101">
        <v>40300</v>
      </c>
      <c r="AB47" s="101">
        <v>40300</v>
      </c>
      <c r="AC47" s="101">
        <v>40300</v>
      </c>
      <c r="AD47" s="101">
        <v>40300</v>
      </c>
      <c r="AE47" s="101">
        <v>40300</v>
      </c>
      <c r="AF47" s="101">
        <v>40300</v>
      </c>
      <c r="AG47" s="101">
        <v>40300</v>
      </c>
      <c r="AH47" s="101">
        <v>40300</v>
      </c>
      <c r="AI47" s="101">
        <v>40300</v>
      </c>
      <c r="AJ47" s="101">
        <v>40300</v>
      </c>
      <c r="AK47" s="101">
        <v>40300</v>
      </c>
      <c r="AL47" s="101">
        <v>40300</v>
      </c>
      <c r="AM47" s="101">
        <v>40300</v>
      </c>
      <c r="AN47" s="101">
        <v>40300</v>
      </c>
      <c r="AO47" s="101">
        <v>40300</v>
      </c>
      <c r="AP47" s="101">
        <v>40300</v>
      </c>
      <c r="AQ47" s="101">
        <v>40300</v>
      </c>
      <c r="AR47" s="101">
        <v>40300</v>
      </c>
      <c r="AS47" s="101">
        <v>40300</v>
      </c>
      <c r="AT47" s="101">
        <v>40300</v>
      </c>
      <c r="AU47" s="101">
        <v>40300</v>
      </c>
    </row>
    <row r="48" spans="1:47">
      <c r="A48" t="str">
        <f>IF('Plant Data'!A48="","",'Plant Data'!A48)</f>
        <v>SMC MALITA U1</v>
      </c>
      <c r="B48" s="101">
        <v>40300</v>
      </c>
      <c r="C48" s="101">
        <v>40300</v>
      </c>
      <c r="D48" s="101">
        <v>40300</v>
      </c>
      <c r="E48" s="101">
        <v>40300</v>
      </c>
      <c r="F48" s="101">
        <v>40300</v>
      </c>
      <c r="G48" s="101">
        <v>40300</v>
      </c>
      <c r="H48" s="101">
        <v>40300</v>
      </c>
      <c r="I48" s="101">
        <v>40300</v>
      </c>
      <c r="J48" s="101">
        <v>40300</v>
      </c>
      <c r="K48" s="101">
        <v>40300</v>
      </c>
      <c r="L48" s="101">
        <v>40300</v>
      </c>
      <c r="M48" s="101">
        <v>40300</v>
      </c>
      <c r="N48" s="101">
        <v>40300</v>
      </c>
      <c r="O48" s="101">
        <v>40300</v>
      </c>
      <c r="P48" s="101">
        <v>40300</v>
      </c>
      <c r="Q48" s="101">
        <v>40300</v>
      </c>
      <c r="R48" s="101">
        <v>40300</v>
      </c>
      <c r="S48" s="101">
        <v>40300</v>
      </c>
      <c r="T48" s="101">
        <v>40300</v>
      </c>
      <c r="U48" s="101">
        <v>40300</v>
      </c>
      <c r="V48" s="101">
        <v>40300</v>
      </c>
      <c r="W48" s="101">
        <v>40300</v>
      </c>
      <c r="X48" s="101">
        <v>40300</v>
      </c>
      <c r="Y48" s="101">
        <v>40300</v>
      </c>
      <c r="Z48" s="101">
        <v>40300</v>
      </c>
      <c r="AA48" s="101">
        <v>40300</v>
      </c>
      <c r="AB48" s="101">
        <v>40300</v>
      </c>
      <c r="AC48" s="101">
        <v>40300</v>
      </c>
      <c r="AD48" s="101">
        <v>40300</v>
      </c>
      <c r="AE48" s="101">
        <v>40300</v>
      </c>
      <c r="AF48" s="101">
        <v>40300</v>
      </c>
      <c r="AG48" s="101">
        <v>40300</v>
      </c>
      <c r="AH48" s="101">
        <v>40300</v>
      </c>
      <c r="AI48" s="101">
        <v>40300</v>
      </c>
      <c r="AJ48" s="101">
        <v>40300</v>
      </c>
      <c r="AK48" s="101">
        <v>40300</v>
      </c>
      <c r="AL48" s="101">
        <v>40300</v>
      </c>
      <c r="AM48" s="101">
        <v>40300</v>
      </c>
      <c r="AN48" s="101">
        <v>40300</v>
      </c>
      <c r="AO48" s="101">
        <v>40300</v>
      </c>
      <c r="AP48" s="101">
        <v>40300</v>
      </c>
      <c r="AQ48" s="101">
        <v>40300</v>
      </c>
      <c r="AR48" s="101">
        <v>40300</v>
      </c>
      <c r="AS48" s="101">
        <v>40300</v>
      </c>
      <c r="AT48" s="101">
        <v>40300</v>
      </c>
      <c r="AU48" s="101">
        <v>40300</v>
      </c>
    </row>
    <row r="49" spans="1:47">
      <c r="A49" t="str">
        <f>IF('Plant Data'!A49="","",'Plant Data'!A49)</f>
        <v>SMC MALITA U2</v>
      </c>
      <c r="B49" s="101">
        <v>40300</v>
      </c>
      <c r="C49" s="101">
        <v>40300</v>
      </c>
      <c r="D49" s="101">
        <v>40300</v>
      </c>
      <c r="E49" s="101">
        <v>40300</v>
      </c>
      <c r="F49" s="101">
        <v>40300</v>
      </c>
      <c r="G49" s="101">
        <v>40300</v>
      </c>
      <c r="H49" s="101">
        <v>40300</v>
      </c>
      <c r="I49" s="101">
        <v>40300</v>
      </c>
      <c r="J49" s="101">
        <v>40300</v>
      </c>
      <c r="K49" s="101">
        <v>40300</v>
      </c>
      <c r="L49" s="101">
        <v>40300</v>
      </c>
      <c r="M49" s="101">
        <v>40300</v>
      </c>
      <c r="N49" s="101">
        <v>40300</v>
      </c>
      <c r="O49" s="101">
        <v>40300</v>
      </c>
      <c r="P49" s="101">
        <v>40300</v>
      </c>
      <c r="Q49" s="101">
        <v>40300</v>
      </c>
      <c r="R49" s="101">
        <v>40300</v>
      </c>
      <c r="S49" s="101">
        <v>40300</v>
      </c>
      <c r="T49" s="101">
        <v>40300</v>
      </c>
      <c r="U49" s="101">
        <v>40300</v>
      </c>
      <c r="V49" s="101">
        <v>40300</v>
      </c>
      <c r="W49" s="101">
        <v>40300</v>
      </c>
      <c r="X49" s="101">
        <v>40300</v>
      </c>
      <c r="Y49" s="101">
        <v>40300</v>
      </c>
      <c r="Z49" s="101">
        <v>40300</v>
      </c>
      <c r="AA49" s="101">
        <v>40300</v>
      </c>
      <c r="AB49" s="101">
        <v>40300</v>
      </c>
      <c r="AC49" s="101">
        <v>40300</v>
      </c>
      <c r="AD49" s="101">
        <v>40300</v>
      </c>
      <c r="AE49" s="101">
        <v>40300</v>
      </c>
      <c r="AF49" s="101">
        <v>40300</v>
      </c>
      <c r="AG49" s="101">
        <v>40300</v>
      </c>
      <c r="AH49" s="101">
        <v>40300</v>
      </c>
      <c r="AI49" s="101">
        <v>40300</v>
      </c>
      <c r="AJ49" s="101">
        <v>40300</v>
      </c>
      <c r="AK49" s="101">
        <v>40300</v>
      </c>
      <c r="AL49" s="101">
        <v>40300</v>
      </c>
      <c r="AM49" s="101">
        <v>40300</v>
      </c>
      <c r="AN49" s="101">
        <v>40300</v>
      </c>
      <c r="AO49" s="101">
        <v>40300</v>
      </c>
      <c r="AP49" s="101">
        <v>40300</v>
      </c>
      <c r="AQ49" s="101">
        <v>40300</v>
      </c>
      <c r="AR49" s="101">
        <v>40300</v>
      </c>
      <c r="AS49" s="101">
        <v>40300</v>
      </c>
      <c r="AT49" s="101">
        <v>40300</v>
      </c>
      <c r="AU49" s="101">
        <v>40300</v>
      </c>
    </row>
    <row r="50" spans="1:47">
      <c r="A50" t="str">
        <f>IF('Plant Data'!A50="","",'Plant Data'!A50)</f>
        <v>THERMA SOUTH U1</v>
      </c>
      <c r="B50" s="101">
        <v>40300</v>
      </c>
      <c r="C50" s="101">
        <v>40300</v>
      </c>
      <c r="D50" s="101">
        <v>40300</v>
      </c>
      <c r="E50" s="101">
        <v>40300</v>
      </c>
      <c r="F50" s="101">
        <v>40300</v>
      </c>
      <c r="G50" s="101">
        <v>40300</v>
      </c>
      <c r="H50" s="101">
        <v>40300</v>
      </c>
      <c r="I50" s="101">
        <v>40300</v>
      </c>
      <c r="J50" s="101">
        <v>40300</v>
      </c>
      <c r="K50" s="101">
        <v>40300</v>
      </c>
      <c r="L50" s="101">
        <v>40300</v>
      </c>
      <c r="M50" s="101">
        <v>40300</v>
      </c>
      <c r="N50" s="101">
        <v>40300</v>
      </c>
      <c r="O50" s="101">
        <v>40300</v>
      </c>
      <c r="P50" s="101">
        <v>40300</v>
      </c>
      <c r="Q50" s="101">
        <v>40300</v>
      </c>
      <c r="R50" s="101">
        <v>40300</v>
      </c>
      <c r="S50" s="101">
        <v>40300</v>
      </c>
      <c r="T50" s="101">
        <v>40300</v>
      </c>
      <c r="U50" s="101">
        <v>40300</v>
      </c>
      <c r="V50" s="101">
        <v>40300</v>
      </c>
      <c r="W50" s="101">
        <v>40300</v>
      </c>
      <c r="X50" s="101">
        <v>40300</v>
      </c>
      <c r="Y50" s="101">
        <v>40300</v>
      </c>
      <c r="Z50" s="101">
        <v>40300</v>
      </c>
      <c r="AA50" s="101">
        <v>40300</v>
      </c>
      <c r="AB50" s="101">
        <v>40300</v>
      </c>
      <c r="AC50" s="101">
        <v>40300</v>
      </c>
      <c r="AD50" s="101">
        <v>40300</v>
      </c>
      <c r="AE50" s="101">
        <v>40300</v>
      </c>
      <c r="AF50" s="101">
        <v>40300</v>
      </c>
      <c r="AG50" s="101">
        <v>40300</v>
      </c>
      <c r="AH50" s="101">
        <v>40300</v>
      </c>
      <c r="AI50" s="101">
        <v>40300</v>
      </c>
      <c r="AJ50" s="101">
        <v>40300</v>
      </c>
      <c r="AK50" s="101">
        <v>40300</v>
      </c>
      <c r="AL50" s="101">
        <v>40300</v>
      </c>
      <c r="AM50" s="101">
        <v>40300</v>
      </c>
      <c r="AN50" s="101">
        <v>40300</v>
      </c>
      <c r="AO50" s="101">
        <v>40300</v>
      </c>
      <c r="AP50" s="101">
        <v>40300</v>
      </c>
      <c r="AQ50" s="101">
        <v>40300</v>
      </c>
      <c r="AR50" s="101">
        <v>40300</v>
      </c>
      <c r="AS50" s="101">
        <v>40300</v>
      </c>
      <c r="AT50" s="101">
        <v>40300</v>
      </c>
      <c r="AU50" s="101">
        <v>40300</v>
      </c>
    </row>
    <row r="51" spans="1:47">
      <c r="A51" t="str">
        <f>IF('Plant Data'!A51="","",'Plant Data'!A51)</f>
        <v>THERMA SOUTH U2</v>
      </c>
      <c r="B51" s="101">
        <v>40300</v>
      </c>
      <c r="C51" s="101">
        <v>40300</v>
      </c>
      <c r="D51" s="101">
        <v>40300</v>
      </c>
      <c r="E51" s="101">
        <v>40300</v>
      </c>
      <c r="F51" s="101">
        <v>40300</v>
      </c>
      <c r="G51" s="101">
        <v>40300</v>
      </c>
      <c r="H51" s="101">
        <v>40300</v>
      </c>
      <c r="I51" s="101">
        <v>40300</v>
      </c>
      <c r="J51" s="101">
        <v>40300</v>
      </c>
      <c r="K51" s="101">
        <v>40300</v>
      </c>
      <c r="L51" s="101">
        <v>40300</v>
      </c>
      <c r="M51" s="101">
        <v>40300</v>
      </c>
      <c r="N51" s="101">
        <v>40300</v>
      </c>
      <c r="O51" s="101">
        <v>40300</v>
      </c>
      <c r="P51" s="101">
        <v>40300</v>
      </c>
      <c r="Q51" s="101">
        <v>40300</v>
      </c>
      <c r="R51" s="101">
        <v>40300</v>
      </c>
      <c r="S51" s="101">
        <v>40300</v>
      </c>
      <c r="T51" s="101">
        <v>40300</v>
      </c>
      <c r="U51" s="101">
        <v>40300</v>
      </c>
      <c r="V51" s="101">
        <v>40300</v>
      </c>
      <c r="W51" s="101">
        <v>40300</v>
      </c>
      <c r="X51" s="101">
        <v>40300</v>
      </c>
      <c r="Y51" s="101">
        <v>40300</v>
      </c>
      <c r="Z51" s="101">
        <v>40300</v>
      </c>
      <c r="AA51" s="101">
        <v>40300</v>
      </c>
      <c r="AB51" s="101">
        <v>40300</v>
      </c>
      <c r="AC51" s="101">
        <v>40300</v>
      </c>
      <c r="AD51" s="101">
        <v>40300</v>
      </c>
      <c r="AE51" s="101">
        <v>40300</v>
      </c>
      <c r="AF51" s="101">
        <v>40300</v>
      </c>
      <c r="AG51" s="101">
        <v>40300</v>
      </c>
      <c r="AH51" s="101">
        <v>40300</v>
      </c>
      <c r="AI51" s="101">
        <v>40300</v>
      </c>
      <c r="AJ51" s="101">
        <v>40300</v>
      </c>
      <c r="AK51" s="101">
        <v>40300</v>
      </c>
      <c r="AL51" s="101">
        <v>40300</v>
      </c>
      <c r="AM51" s="101">
        <v>40300</v>
      </c>
      <c r="AN51" s="101">
        <v>40300</v>
      </c>
      <c r="AO51" s="101">
        <v>40300</v>
      </c>
      <c r="AP51" s="101">
        <v>40300</v>
      </c>
      <c r="AQ51" s="101">
        <v>40300</v>
      </c>
      <c r="AR51" s="101">
        <v>40300</v>
      </c>
      <c r="AS51" s="101">
        <v>40300</v>
      </c>
      <c r="AT51" s="101">
        <v>40300</v>
      </c>
      <c r="AU51" s="101">
        <v>40300</v>
      </c>
    </row>
    <row r="52" spans="1:47">
      <c r="A52" t="str">
        <f>IF('Plant Data'!A52="","",'Plant Data'!A52)</f>
        <v>GNPOWER KAUSAWAGAN U1</v>
      </c>
      <c r="B52" s="101">
        <v>40300</v>
      </c>
      <c r="C52" s="101">
        <v>40300</v>
      </c>
      <c r="D52" s="101">
        <v>40300</v>
      </c>
      <c r="E52" s="101">
        <v>40300</v>
      </c>
      <c r="F52" s="101">
        <v>40300</v>
      </c>
      <c r="G52" s="101">
        <v>40300</v>
      </c>
      <c r="H52" s="101">
        <v>40300</v>
      </c>
      <c r="I52" s="101">
        <v>40300</v>
      </c>
      <c r="J52" s="101">
        <v>40300</v>
      </c>
      <c r="K52" s="101">
        <v>40300</v>
      </c>
      <c r="L52" s="101">
        <v>40300</v>
      </c>
      <c r="M52" s="101">
        <v>40300</v>
      </c>
      <c r="N52" s="101">
        <v>40300</v>
      </c>
      <c r="O52" s="101">
        <v>40300</v>
      </c>
      <c r="P52" s="101">
        <v>40300</v>
      </c>
      <c r="Q52" s="101">
        <v>40300</v>
      </c>
      <c r="R52" s="101">
        <v>40300</v>
      </c>
      <c r="S52" s="101">
        <v>40300</v>
      </c>
      <c r="T52" s="101">
        <v>40300</v>
      </c>
      <c r="U52" s="101">
        <v>40300</v>
      </c>
      <c r="V52" s="101">
        <v>40300</v>
      </c>
      <c r="W52" s="101">
        <v>40300</v>
      </c>
      <c r="X52" s="101">
        <v>40300</v>
      </c>
      <c r="Y52" s="101">
        <v>40300</v>
      </c>
      <c r="Z52" s="101">
        <v>40300</v>
      </c>
      <c r="AA52" s="101">
        <v>40300</v>
      </c>
      <c r="AB52" s="101">
        <v>40300</v>
      </c>
      <c r="AC52" s="101">
        <v>40300</v>
      </c>
      <c r="AD52" s="101">
        <v>40300</v>
      </c>
      <c r="AE52" s="101">
        <v>40300</v>
      </c>
      <c r="AF52" s="101">
        <v>40300</v>
      </c>
      <c r="AG52" s="101">
        <v>40300</v>
      </c>
      <c r="AH52" s="101">
        <v>40300</v>
      </c>
      <c r="AI52" s="101">
        <v>40300</v>
      </c>
      <c r="AJ52" s="101">
        <v>40300</v>
      </c>
      <c r="AK52" s="101">
        <v>40300</v>
      </c>
      <c r="AL52" s="101">
        <v>40300</v>
      </c>
      <c r="AM52" s="101">
        <v>40300</v>
      </c>
      <c r="AN52" s="101">
        <v>40300</v>
      </c>
      <c r="AO52" s="101">
        <v>40300</v>
      </c>
      <c r="AP52" s="101">
        <v>40300</v>
      </c>
      <c r="AQ52" s="101">
        <v>40300</v>
      </c>
      <c r="AR52" s="101">
        <v>40300</v>
      </c>
      <c r="AS52" s="101">
        <v>40300</v>
      </c>
      <c r="AT52" s="101">
        <v>40300</v>
      </c>
      <c r="AU52" s="101">
        <v>40300</v>
      </c>
    </row>
    <row r="53" spans="1:47">
      <c r="A53" t="str">
        <f>IF('Plant Data'!A53="","",'Plant Data'!A53)</f>
        <v>GNPOWER KAUSAWAGAN U2</v>
      </c>
      <c r="B53" s="101">
        <v>40300</v>
      </c>
      <c r="C53" s="101">
        <v>40300</v>
      </c>
      <c r="D53" s="101">
        <v>40300</v>
      </c>
      <c r="E53" s="101">
        <v>40300</v>
      </c>
      <c r="F53" s="101">
        <v>40300</v>
      </c>
      <c r="G53" s="101">
        <v>40300</v>
      </c>
      <c r="H53" s="101">
        <v>40300</v>
      </c>
      <c r="I53" s="101">
        <v>40300</v>
      </c>
      <c r="J53" s="101">
        <v>40300</v>
      </c>
      <c r="K53" s="101">
        <v>40300</v>
      </c>
      <c r="L53" s="101">
        <v>40300</v>
      </c>
      <c r="M53" s="101">
        <v>40300</v>
      </c>
      <c r="N53" s="101">
        <v>40300</v>
      </c>
      <c r="O53" s="101">
        <v>40300</v>
      </c>
      <c r="P53" s="101">
        <v>40300</v>
      </c>
      <c r="Q53" s="101">
        <v>40300</v>
      </c>
      <c r="R53" s="101">
        <v>40300</v>
      </c>
      <c r="S53" s="101">
        <v>40300</v>
      </c>
      <c r="T53" s="101">
        <v>40300</v>
      </c>
      <c r="U53" s="101">
        <v>40300</v>
      </c>
      <c r="V53" s="101">
        <v>40300</v>
      </c>
      <c r="W53" s="101">
        <v>40300</v>
      </c>
      <c r="X53" s="101">
        <v>40300</v>
      </c>
      <c r="Y53" s="101">
        <v>40300</v>
      </c>
      <c r="Z53" s="101">
        <v>40300</v>
      </c>
      <c r="AA53" s="101">
        <v>40300</v>
      </c>
      <c r="AB53" s="101">
        <v>40300</v>
      </c>
      <c r="AC53" s="101">
        <v>40300</v>
      </c>
      <c r="AD53" s="101">
        <v>40300</v>
      </c>
      <c r="AE53" s="101">
        <v>40300</v>
      </c>
      <c r="AF53" s="101">
        <v>40300</v>
      </c>
      <c r="AG53" s="101">
        <v>40300</v>
      </c>
      <c r="AH53" s="101">
        <v>40300</v>
      </c>
      <c r="AI53" s="101">
        <v>40300</v>
      </c>
      <c r="AJ53" s="101">
        <v>40300</v>
      </c>
      <c r="AK53" s="101">
        <v>40300</v>
      </c>
      <c r="AL53" s="101">
        <v>40300</v>
      </c>
      <c r="AM53" s="101">
        <v>40300</v>
      </c>
      <c r="AN53" s="101">
        <v>40300</v>
      </c>
      <c r="AO53" s="101">
        <v>40300</v>
      </c>
      <c r="AP53" s="101">
        <v>40300</v>
      </c>
      <c r="AQ53" s="101">
        <v>40300</v>
      </c>
      <c r="AR53" s="101">
        <v>40300</v>
      </c>
      <c r="AS53" s="101">
        <v>40300</v>
      </c>
      <c r="AT53" s="101">
        <v>40300</v>
      </c>
      <c r="AU53" s="101">
        <v>40300</v>
      </c>
    </row>
    <row r="54" spans="1:47">
      <c r="A54" t="str">
        <f>IF('Plant Data'!A54="","",'Plant Data'!A54)</f>
        <v>GNPOWER KAUSAWAGAN U3</v>
      </c>
      <c r="B54" s="101">
        <v>40300</v>
      </c>
      <c r="C54" s="101">
        <v>40300</v>
      </c>
      <c r="D54" s="101">
        <v>40300</v>
      </c>
      <c r="E54" s="101">
        <v>40300</v>
      </c>
      <c r="F54" s="101">
        <v>40300</v>
      </c>
      <c r="G54" s="101">
        <v>40300</v>
      </c>
      <c r="H54" s="101">
        <v>40300</v>
      </c>
      <c r="I54" s="101">
        <v>40300</v>
      </c>
      <c r="J54" s="101">
        <v>40300</v>
      </c>
      <c r="K54" s="101">
        <v>40300</v>
      </c>
      <c r="L54" s="101">
        <v>40300</v>
      </c>
      <c r="M54" s="101">
        <v>40300</v>
      </c>
      <c r="N54" s="101">
        <v>40300</v>
      </c>
      <c r="O54" s="101">
        <v>40300</v>
      </c>
      <c r="P54" s="101">
        <v>40300</v>
      </c>
      <c r="Q54" s="101">
        <v>40300</v>
      </c>
      <c r="R54" s="101">
        <v>40300</v>
      </c>
      <c r="S54" s="101">
        <v>40300</v>
      </c>
      <c r="T54" s="101">
        <v>40300</v>
      </c>
      <c r="U54" s="101">
        <v>40300</v>
      </c>
      <c r="V54" s="101">
        <v>40300</v>
      </c>
      <c r="W54" s="101">
        <v>40300</v>
      </c>
      <c r="X54" s="101">
        <v>40300</v>
      </c>
      <c r="Y54" s="101">
        <v>40300</v>
      </c>
      <c r="Z54" s="101">
        <v>40300</v>
      </c>
      <c r="AA54" s="101">
        <v>40300</v>
      </c>
      <c r="AB54" s="101">
        <v>40300</v>
      </c>
      <c r="AC54" s="101">
        <v>40300</v>
      </c>
      <c r="AD54" s="101">
        <v>40300</v>
      </c>
      <c r="AE54" s="101">
        <v>40300</v>
      </c>
      <c r="AF54" s="101">
        <v>40300</v>
      </c>
      <c r="AG54" s="101">
        <v>40300</v>
      </c>
      <c r="AH54" s="101">
        <v>40300</v>
      </c>
      <c r="AI54" s="101">
        <v>40300</v>
      </c>
      <c r="AJ54" s="101">
        <v>40300</v>
      </c>
      <c r="AK54" s="101">
        <v>40300</v>
      </c>
      <c r="AL54" s="101">
        <v>40300</v>
      </c>
      <c r="AM54" s="101">
        <v>40300</v>
      </c>
      <c r="AN54" s="101">
        <v>40300</v>
      </c>
      <c r="AO54" s="101">
        <v>40300</v>
      </c>
      <c r="AP54" s="101">
        <v>40300</v>
      </c>
      <c r="AQ54" s="101">
        <v>40300</v>
      </c>
      <c r="AR54" s="101">
        <v>40300</v>
      </c>
      <c r="AS54" s="101">
        <v>40300</v>
      </c>
      <c r="AT54" s="101">
        <v>40300</v>
      </c>
      <c r="AU54" s="101">
        <v>40300</v>
      </c>
    </row>
    <row r="55" spans="1:47">
      <c r="A55" t="str">
        <f>IF('Plant Data'!A55="","",'Plant Data'!A55)</f>
        <v>GNPOWER KAUSAWAGAN U4</v>
      </c>
      <c r="B55" s="101">
        <v>40300</v>
      </c>
      <c r="C55" s="101">
        <v>40300</v>
      </c>
      <c r="D55" s="101">
        <v>40300</v>
      </c>
      <c r="E55" s="101">
        <v>40300</v>
      </c>
      <c r="F55" s="101">
        <v>40300</v>
      </c>
      <c r="G55" s="101">
        <v>40300</v>
      </c>
      <c r="H55" s="101">
        <v>40300</v>
      </c>
      <c r="I55" s="101">
        <v>40300</v>
      </c>
      <c r="J55" s="101">
        <v>40300</v>
      </c>
      <c r="K55" s="101">
        <v>40300</v>
      </c>
      <c r="L55" s="101">
        <v>40300</v>
      </c>
      <c r="M55" s="101">
        <v>40300</v>
      </c>
      <c r="N55" s="101">
        <v>40300</v>
      </c>
      <c r="O55" s="101">
        <v>40300</v>
      </c>
      <c r="P55" s="101">
        <v>40300</v>
      </c>
      <c r="Q55" s="101">
        <v>40300</v>
      </c>
      <c r="R55" s="101">
        <v>40300</v>
      </c>
      <c r="S55" s="101">
        <v>40300</v>
      </c>
      <c r="T55" s="101">
        <v>40300</v>
      </c>
      <c r="U55" s="101">
        <v>40300</v>
      </c>
      <c r="V55" s="101">
        <v>40300</v>
      </c>
      <c r="W55" s="101">
        <v>40300</v>
      </c>
      <c r="X55" s="101">
        <v>40300</v>
      </c>
      <c r="Y55" s="101">
        <v>40300</v>
      </c>
      <c r="Z55" s="101">
        <v>40300</v>
      </c>
      <c r="AA55" s="101">
        <v>40300</v>
      </c>
      <c r="AB55" s="101">
        <v>40300</v>
      </c>
      <c r="AC55" s="101">
        <v>40300</v>
      </c>
      <c r="AD55" s="101">
        <v>40300</v>
      </c>
      <c r="AE55" s="101">
        <v>40300</v>
      </c>
      <c r="AF55" s="101">
        <v>40300</v>
      </c>
      <c r="AG55" s="101">
        <v>40300</v>
      </c>
      <c r="AH55" s="101">
        <v>40300</v>
      </c>
      <c r="AI55" s="101">
        <v>40300</v>
      </c>
      <c r="AJ55" s="101">
        <v>40300</v>
      </c>
      <c r="AK55" s="101">
        <v>40300</v>
      </c>
      <c r="AL55" s="101">
        <v>40300</v>
      </c>
      <c r="AM55" s="101">
        <v>40300</v>
      </c>
      <c r="AN55" s="101">
        <v>40300</v>
      </c>
      <c r="AO55" s="101">
        <v>40300</v>
      </c>
      <c r="AP55" s="101">
        <v>40300</v>
      </c>
      <c r="AQ55" s="101">
        <v>40300</v>
      </c>
      <c r="AR55" s="101">
        <v>40300</v>
      </c>
      <c r="AS55" s="101">
        <v>40300</v>
      </c>
      <c r="AT55" s="101">
        <v>40300</v>
      </c>
      <c r="AU55" s="101">
        <v>40300</v>
      </c>
    </row>
    <row r="56" spans="1:47">
      <c r="A56" t="str">
        <f>IF('Plant Data'!A56="","",'Plant Data'!A56)</f>
        <v>MPC Balingasag Power Station U1</v>
      </c>
      <c r="B56" s="101">
        <v>40300</v>
      </c>
      <c r="C56" s="101">
        <v>40300</v>
      </c>
      <c r="D56" s="101">
        <v>40300</v>
      </c>
      <c r="E56" s="101">
        <v>40300</v>
      </c>
      <c r="F56" s="101">
        <v>40300</v>
      </c>
      <c r="G56" s="101">
        <v>40300</v>
      </c>
      <c r="H56" s="101">
        <v>40300</v>
      </c>
      <c r="I56" s="101">
        <v>40300</v>
      </c>
      <c r="J56" s="101">
        <v>40300</v>
      </c>
      <c r="K56" s="101">
        <v>40300</v>
      </c>
      <c r="L56" s="101">
        <v>40300</v>
      </c>
      <c r="M56" s="101">
        <v>40300</v>
      </c>
      <c r="N56" s="101">
        <v>40300</v>
      </c>
      <c r="O56" s="101">
        <v>40300</v>
      </c>
      <c r="P56" s="101">
        <v>40300</v>
      </c>
      <c r="Q56" s="101">
        <v>40300</v>
      </c>
      <c r="R56" s="101">
        <v>40300</v>
      </c>
      <c r="S56" s="101">
        <v>40300</v>
      </c>
      <c r="T56" s="101">
        <v>40300</v>
      </c>
      <c r="U56" s="101">
        <v>40300</v>
      </c>
      <c r="V56" s="101">
        <v>40300</v>
      </c>
      <c r="W56" s="101">
        <v>40300</v>
      </c>
      <c r="X56" s="101">
        <v>40300</v>
      </c>
      <c r="Y56" s="101">
        <v>40300</v>
      </c>
      <c r="Z56" s="101">
        <v>40300</v>
      </c>
      <c r="AA56" s="101">
        <v>40300</v>
      </c>
      <c r="AB56" s="101">
        <v>40300</v>
      </c>
      <c r="AC56" s="101">
        <v>40300</v>
      </c>
      <c r="AD56" s="101">
        <v>40300</v>
      </c>
      <c r="AE56" s="101">
        <v>40300</v>
      </c>
      <c r="AF56" s="101">
        <v>40300</v>
      </c>
      <c r="AG56" s="101">
        <v>40300</v>
      </c>
      <c r="AH56" s="101">
        <v>40300</v>
      </c>
      <c r="AI56" s="101">
        <v>40300</v>
      </c>
      <c r="AJ56" s="101">
        <v>40300</v>
      </c>
      <c r="AK56" s="101">
        <v>40300</v>
      </c>
      <c r="AL56" s="101">
        <v>40300</v>
      </c>
      <c r="AM56" s="101">
        <v>40300</v>
      </c>
      <c r="AN56" s="101">
        <v>40300</v>
      </c>
      <c r="AO56" s="101">
        <v>40300</v>
      </c>
      <c r="AP56" s="101">
        <v>40300</v>
      </c>
      <c r="AQ56" s="101">
        <v>40300</v>
      </c>
      <c r="AR56" s="101">
        <v>40300</v>
      </c>
      <c r="AS56" s="101">
        <v>40300</v>
      </c>
      <c r="AT56" s="101">
        <v>40300</v>
      </c>
      <c r="AU56" s="101">
        <v>40300</v>
      </c>
    </row>
    <row r="57" spans="1:47">
      <c r="A57" t="str">
        <f>IF('Plant Data'!A57="","",'Plant Data'!A57)</f>
        <v>MPC Balingasag Power Station U2</v>
      </c>
      <c r="B57" s="101">
        <v>40300</v>
      </c>
      <c r="C57" s="101">
        <v>40300</v>
      </c>
      <c r="D57" s="101">
        <v>40300</v>
      </c>
      <c r="E57" s="101">
        <v>40300</v>
      </c>
      <c r="F57" s="101">
        <v>40300</v>
      </c>
      <c r="G57" s="101">
        <v>40300</v>
      </c>
      <c r="H57" s="101">
        <v>40300</v>
      </c>
      <c r="I57" s="101">
        <v>40300</v>
      </c>
      <c r="J57" s="101">
        <v>40300</v>
      </c>
      <c r="K57" s="101">
        <v>40300</v>
      </c>
      <c r="L57" s="101">
        <v>40300</v>
      </c>
      <c r="M57" s="101">
        <v>40300</v>
      </c>
      <c r="N57" s="101">
        <v>40300</v>
      </c>
      <c r="O57" s="101">
        <v>40300</v>
      </c>
      <c r="P57" s="101">
        <v>40300</v>
      </c>
      <c r="Q57" s="101">
        <v>40300</v>
      </c>
      <c r="R57" s="101">
        <v>40300</v>
      </c>
      <c r="S57" s="101">
        <v>40300</v>
      </c>
      <c r="T57" s="101">
        <v>40300</v>
      </c>
      <c r="U57" s="101">
        <v>40300</v>
      </c>
      <c r="V57" s="101">
        <v>40300</v>
      </c>
      <c r="W57" s="101">
        <v>40300</v>
      </c>
      <c r="X57" s="101">
        <v>40300</v>
      </c>
      <c r="Y57" s="101">
        <v>40300</v>
      </c>
      <c r="Z57" s="101">
        <v>40300</v>
      </c>
      <c r="AA57" s="101">
        <v>40300</v>
      </c>
      <c r="AB57" s="101">
        <v>40300</v>
      </c>
      <c r="AC57" s="101">
        <v>40300</v>
      </c>
      <c r="AD57" s="101">
        <v>40300</v>
      </c>
      <c r="AE57" s="101">
        <v>40300</v>
      </c>
      <c r="AF57" s="101">
        <v>40300</v>
      </c>
      <c r="AG57" s="101">
        <v>40300</v>
      </c>
      <c r="AH57" s="101">
        <v>40300</v>
      </c>
      <c r="AI57" s="101">
        <v>40300</v>
      </c>
      <c r="AJ57" s="101">
        <v>40300</v>
      </c>
      <c r="AK57" s="101">
        <v>40300</v>
      </c>
      <c r="AL57" s="101">
        <v>40300</v>
      </c>
      <c r="AM57" s="101">
        <v>40300</v>
      </c>
      <c r="AN57" s="101">
        <v>40300</v>
      </c>
      <c r="AO57" s="101">
        <v>40300</v>
      </c>
      <c r="AP57" s="101">
        <v>40300</v>
      </c>
      <c r="AQ57" s="101">
        <v>40300</v>
      </c>
      <c r="AR57" s="101">
        <v>40300</v>
      </c>
      <c r="AS57" s="101">
        <v>40300</v>
      </c>
      <c r="AT57" s="101">
        <v>40300</v>
      </c>
      <c r="AU57" s="101">
        <v>40300</v>
      </c>
    </row>
    <row r="58" spans="1:47">
      <c r="A58" t="str">
        <f>IF('Plant Data'!A58="","",'Plant Data'!A58)</f>
        <v>MPC Balingasag Power Station U3</v>
      </c>
      <c r="B58" s="101">
        <v>40300</v>
      </c>
      <c r="C58" s="101">
        <v>40300</v>
      </c>
      <c r="D58" s="101">
        <v>40300</v>
      </c>
      <c r="E58" s="101">
        <v>40300</v>
      </c>
      <c r="F58" s="101">
        <v>40300</v>
      </c>
      <c r="G58" s="101">
        <v>40300</v>
      </c>
      <c r="H58" s="101">
        <v>40300</v>
      </c>
      <c r="I58" s="101">
        <v>40300</v>
      </c>
      <c r="J58" s="101">
        <v>40300</v>
      </c>
      <c r="K58" s="101">
        <v>40300</v>
      </c>
      <c r="L58" s="101">
        <v>40300</v>
      </c>
      <c r="M58" s="101">
        <v>40300</v>
      </c>
      <c r="N58" s="101">
        <v>40300</v>
      </c>
      <c r="O58" s="101">
        <v>40300</v>
      </c>
      <c r="P58" s="101">
        <v>40300</v>
      </c>
      <c r="Q58" s="101">
        <v>40300</v>
      </c>
      <c r="R58" s="101">
        <v>40300</v>
      </c>
      <c r="S58" s="101">
        <v>40300</v>
      </c>
      <c r="T58" s="101">
        <v>40300</v>
      </c>
      <c r="U58" s="101">
        <v>40300</v>
      </c>
      <c r="V58" s="101">
        <v>40300</v>
      </c>
      <c r="W58" s="101">
        <v>40300</v>
      </c>
      <c r="X58" s="101">
        <v>40300</v>
      </c>
      <c r="Y58" s="101">
        <v>40300</v>
      </c>
      <c r="Z58" s="101">
        <v>40300</v>
      </c>
      <c r="AA58" s="101">
        <v>40300</v>
      </c>
      <c r="AB58" s="101">
        <v>40300</v>
      </c>
      <c r="AC58" s="101">
        <v>40300</v>
      </c>
      <c r="AD58" s="101">
        <v>40300</v>
      </c>
      <c r="AE58" s="101">
        <v>40300</v>
      </c>
      <c r="AF58" s="101">
        <v>40300</v>
      </c>
      <c r="AG58" s="101">
        <v>40300</v>
      </c>
      <c r="AH58" s="101">
        <v>40300</v>
      </c>
      <c r="AI58" s="101">
        <v>40300</v>
      </c>
      <c r="AJ58" s="101">
        <v>40300</v>
      </c>
      <c r="AK58" s="101">
        <v>40300</v>
      </c>
      <c r="AL58" s="101">
        <v>40300</v>
      </c>
      <c r="AM58" s="101">
        <v>40300</v>
      </c>
      <c r="AN58" s="101">
        <v>40300</v>
      </c>
      <c r="AO58" s="101">
        <v>40300</v>
      </c>
      <c r="AP58" s="101">
        <v>40300</v>
      </c>
      <c r="AQ58" s="101">
        <v>40300</v>
      </c>
      <c r="AR58" s="101">
        <v>40300</v>
      </c>
      <c r="AS58" s="101">
        <v>40300</v>
      </c>
      <c r="AT58" s="101">
        <v>40300</v>
      </c>
      <c r="AU58" s="101">
        <v>40300</v>
      </c>
    </row>
    <row r="59" spans="1:47">
      <c r="A59" t="str">
        <f>IF('Plant Data'!A59="","",'Plant Data'!A59)</f>
        <v>SEC U1</v>
      </c>
      <c r="B59" s="101">
        <v>40300</v>
      </c>
      <c r="C59" s="101">
        <v>40300</v>
      </c>
      <c r="D59" s="101">
        <v>40300</v>
      </c>
      <c r="E59" s="101">
        <v>40300</v>
      </c>
      <c r="F59" s="101">
        <v>40300</v>
      </c>
      <c r="G59" s="101">
        <v>40300</v>
      </c>
      <c r="H59" s="101">
        <v>40300</v>
      </c>
      <c r="I59" s="101">
        <v>40300</v>
      </c>
      <c r="J59" s="101">
        <v>40300</v>
      </c>
      <c r="K59" s="101">
        <v>40300</v>
      </c>
      <c r="L59" s="101">
        <v>40300</v>
      </c>
      <c r="M59" s="101">
        <v>40300</v>
      </c>
      <c r="N59" s="101">
        <v>40300</v>
      </c>
      <c r="O59" s="101">
        <v>40300</v>
      </c>
      <c r="P59" s="101">
        <v>40300</v>
      </c>
      <c r="Q59" s="101">
        <v>40300</v>
      </c>
      <c r="R59" s="101">
        <v>40300</v>
      </c>
      <c r="S59" s="101">
        <v>40300</v>
      </c>
      <c r="T59" s="101">
        <v>40300</v>
      </c>
      <c r="U59" s="101">
        <v>40300</v>
      </c>
      <c r="V59" s="101">
        <v>40300</v>
      </c>
      <c r="W59" s="101">
        <v>40300</v>
      </c>
      <c r="X59" s="101">
        <v>40300</v>
      </c>
      <c r="Y59" s="101">
        <v>40300</v>
      </c>
      <c r="Z59" s="101">
        <v>40300</v>
      </c>
      <c r="AA59" s="101">
        <v>40300</v>
      </c>
      <c r="AB59" s="101">
        <v>40300</v>
      </c>
      <c r="AC59" s="101">
        <v>40300</v>
      </c>
      <c r="AD59" s="101">
        <v>40300</v>
      </c>
      <c r="AE59" s="101">
        <v>40300</v>
      </c>
      <c r="AF59" s="101">
        <v>40300</v>
      </c>
      <c r="AG59" s="101">
        <v>40300</v>
      </c>
      <c r="AH59" s="101">
        <v>40300</v>
      </c>
      <c r="AI59" s="101">
        <v>40300</v>
      </c>
      <c r="AJ59" s="101">
        <v>40300</v>
      </c>
      <c r="AK59" s="101">
        <v>40300</v>
      </c>
      <c r="AL59" s="101">
        <v>40300</v>
      </c>
      <c r="AM59" s="101">
        <v>40300</v>
      </c>
      <c r="AN59" s="101">
        <v>40300</v>
      </c>
      <c r="AO59" s="101">
        <v>40300</v>
      </c>
      <c r="AP59" s="101">
        <v>40300</v>
      </c>
      <c r="AQ59" s="101">
        <v>40300</v>
      </c>
      <c r="AR59" s="101">
        <v>40300</v>
      </c>
      <c r="AS59" s="101">
        <v>40300</v>
      </c>
      <c r="AT59" s="101">
        <v>40300</v>
      </c>
      <c r="AU59" s="101">
        <v>40300</v>
      </c>
    </row>
    <row r="60" spans="1:47">
      <c r="A60" t="str">
        <f>IF('Plant Data'!A60="","",'Plant Data'!A60)</f>
        <v>SEC U2</v>
      </c>
      <c r="B60" s="101">
        <v>40300</v>
      </c>
      <c r="C60" s="101">
        <v>40300</v>
      </c>
      <c r="D60" s="101">
        <v>40300</v>
      </c>
      <c r="E60" s="101">
        <v>40300</v>
      </c>
      <c r="F60" s="101">
        <v>40300</v>
      </c>
      <c r="G60" s="101">
        <v>40300</v>
      </c>
      <c r="H60" s="101">
        <v>40300</v>
      </c>
      <c r="I60" s="101">
        <v>40300</v>
      </c>
      <c r="J60" s="101">
        <v>40300</v>
      </c>
      <c r="K60" s="101">
        <v>40300</v>
      </c>
      <c r="L60" s="101">
        <v>40300</v>
      </c>
      <c r="M60" s="101">
        <v>40300</v>
      </c>
      <c r="N60" s="101">
        <v>40300</v>
      </c>
      <c r="O60" s="101">
        <v>40300</v>
      </c>
      <c r="P60" s="101">
        <v>40300</v>
      </c>
      <c r="Q60" s="101">
        <v>40300</v>
      </c>
      <c r="R60" s="101">
        <v>40300</v>
      </c>
      <c r="S60" s="101">
        <v>40300</v>
      </c>
      <c r="T60" s="101">
        <v>40300</v>
      </c>
      <c r="U60" s="101">
        <v>40300</v>
      </c>
      <c r="V60" s="101">
        <v>40300</v>
      </c>
      <c r="W60" s="101">
        <v>40300</v>
      </c>
      <c r="X60" s="101">
        <v>40300</v>
      </c>
      <c r="Y60" s="101">
        <v>40300</v>
      </c>
      <c r="Z60" s="101">
        <v>40300</v>
      </c>
      <c r="AA60" s="101">
        <v>40300</v>
      </c>
      <c r="AB60" s="101">
        <v>40300</v>
      </c>
      <c r="AC60" s="101">
        <v>40300</v>
      </c>
      <c r="AD60" s="101">
        <v>40300</v>
      </c>
      <c r="AE60" s="101">
        <v>40300</v>
      </c>
      <c r="AF60" s="101">
        <v>40300</v>
      </c>
      <c r="AG60" s="101">
        <v>40300</v>
      </c>
      <c r="AH60" s="101">
        <v>40300</v>
      </c>
      <c r="AI60" s="101">
        <v>40300</v>
      </c>
      <c r="AJ60" s="101">
        <v>40300</v>
      </c>
      <c r="AK60" s="101">
        <v>40300</v>
      </c>
      <c r="AL60" s="101">
        <v>40300</v>
      </c>
      <c r="AM60" s="101">
        <v>40300</v>
      </c>
      <c r="AN60" s="101">
        <v>40300</v>
      </c>
      <c r="AO60" s="101">
        <v>40300</v>
      </c>
      <c r="AP60" s="101">
        <v>40300</v>
      </c>
      <c r="AQ60" s="101">
        <v>40300</v>
      </c>
      <c r="AR60" s="101">
        <v>40300</v>
      </c>
      <c r="AS60" s="101">
        <v>40300</v>
      </c>
      <c r="AT60" s="101">
        <v>40300</v>
      </c>
      <c r="AU60" s="101">
        <v>40300</v>
      </c>
    </row>
    <row r="61" spans="1:47">
      <c r="A61" t="str">
        <f>IF('Plant Data'!A61="","",'Plant Data'!A61)</f>
        <v>PSPE</v>
      </c>
      <c r="B61" s="101">
        <v>40300</v>
      </c>
      <c r="C61" s="101">
        <v>40300</v>
      </c>
      <c r="D61" s="101">
        <v>40300</v>
      </c>
      <c r="E61" s="101">
        <v>40300</v>
      </c>
      <c r="F61" s="101">
        <v>40300</v>
      </c>
      <c r="G61" s="101">
        <v>40300</v>
      </c>
      <c r="H61" s="101">
        <v>40300</v>
      </c>
      <c r="I61" s="101">
        <v>40300</v>
      </c>
      <c r="J61" s="101">
        <v>40300</v>
      </c>
      <c r="K61" s="101">
        <v>40300</v>
      </c>
      <c r="L61" s="101">
        <v>40300</v>
      </c>
      <c r="M61" s="101">
        <v>40300</v>
      </c>
      <c r="N61" s="101">
        <v>40300</v>
      </c>
      <c r="O61" s="101">
        <v>40300</v>
      </c>
      <c r="P61" s="101">
        <v>40300</v>
      </c>
      <c r="Q61" s="101">
        <v>40300</v>
      </c>
      <c r="R61" s="101">
        <v>40300</v>
      </c>
      <c r="S61" s="101">
        <v>40300</v>
      </c>
      <c r="T61" s="101">
        <v>40300</v>
      </c>
      <c r="U61" s="101">
        <v>40300</v>
      </c>
      <c r="V61" s="101">
        <v>40300</v>
      </c>
      <c r="W61" s="101">
        <v>40300</v>
      </c>
      <c r="X61" s="101">
        <v>40300</v>
      </c>
      <c r="Y61" s="101">
        <v>40300</v>
      </c>
      <c r="Z61" s="101">
        <v>40300</v>
      </c>
      <c r="AA61" s="101">
        <v>40300</v>
      </c>
      <c r="AB61" s="101">
        <v>40300</v>
      </c>
      <c r="AC61" s="101">
        <v>40300</v>
      </c>
      <c r="AD61" s="101">
        <v>40300</v>
      </c>
      <c r="AE61" s="101">
        <v>40300</v>
      </c>
      <c r="AF61" s="101">
        <v>40300</v>
      </c>
      <c r="AG61" s="101">
        <v>40300</v>
      </c>
      <c r="AH61" s="101">
        <v>40300</v>
      </c>
      <c r="AI61" s="101">
        <v>40300</v>
      </c>
      <c r="AJ61" s="101">
        <v>40300</v>
      </c>
      <c r="AK61" s="101">
        <v>40300</v>
      </c>
      <c r="AL61" s="101">
        <v>40300</v>
      </c>
      <c r="AM61" s="101">
        <v>40300</v>
      </c>
      <c r="AN61" s="101">
        <v>40300</v>
      </c>
      <c r="AO61" s="101">
        <v>40300</v>
      </c>
      <c r="AP61" s="101">
        <v>40300</v>
      </c>
      <c r="AQ61" s="101">
        <v>40300</v>
      </c>
      <c r="AR61" s="101">
        <v>40300</v>
      </c>
      <c r="AS61" s="101">
        <v>40300</v>
      </c>
      <c r="AT61" s="101">
        <v>40300</v>
      </c>
      <c r="AU61" s="101">
        <v>40300</v>
      </c>
    </row>
    <row r="62" spans="1:47">
      <c r="A62" t="str">
        <f>IF('Plant Data'!A62="","",'Plant Data'!A62)</f>
        <v>ANDAasd1</v>
      </c>
      <c r="B62" s="101">
        <v>40300</v>
      </c>
      <c r="C62" s="101">
        <v>40300</v>
      </c>
      <c r="D62" s="101">
        <v>40300</v>
      </c>
      <c r="E62" s="101">
        <v>40300</v>
      </c>
      <c r="F62" s="101">
        <v>40300</v>
      </c>
      <c r="G62" s="101">
        <v>40300</v>
      </c>
      <c r="H62" s="101">
        <v>40300</v>
      </c>
      <c r="I62" s="101">
        <v>40300</v>
      </c>
      <c r="J62" s="101">
        <v>40300</v>
      </c>
      <c r="K62" s="101">
        <v>40300</v>
      </c>
      <c r="L62" s="101">
        <v>40300</v>
      </c>
      <c r="M62" s="101">
        <v>40300</v>
      </c>
      <c r="N62" s="101">
        <v>40300</v>
      </c>
      <c r="O62" s="101">
        <v>40300</v>
      </c>
      <c r="P62" s="101">
        <v>40300</v>
      </c>
      <c r="Q62" s="101">
        <v>40300</v>
      </c>
      <c r="R62" s="101">
        <v>40300</v>
      </c>
      <c r="S62" s="101">
        <v>40300</v>
      </c>
      <c r="T62" s="101">
        <v>40300</v>
      </c>
      <c r="U62" s="101">
        <v>40300</v>
      </c>
      <c r="V62" s="101">
        <v>40300</v>
      </c>
      <c r="W62" s="101">
        <v>40300</v>
      </c>
      <c r="X62" s="101">
        <v>40300</v>
      </c>
      <c r="Y62" s="101">
        <v>40300</v>
      </c>
      <c r="Z62" s="101">
        <v>40300</v>
      </c>
      <c r="AA62" s="101">
        <v>40300</v>
      </c>
      <c r="AB62" s="101">
        <v>40300</v>
      </c>
      <c r="AC62" s="101">
        <v>40300</v>
      </c>
      <c r="AD62" s="101">
        <v>40300</v>
      </c>
      <c r="AE62" s="101">
        <v>40300</v>
      </c>
      <c r="AF62" s="101">
        <v>40300</v>
      </c>
      <c r="AG62" s="101">
        <v>40300</v>
      </c>
      <c r="AH62" s="101">
        <v>40300</v>
      </c>
      <c r="AI62" s="101">
        <v>40300</v>
      </c>
      <c r="AJ62" s="101">
        <v>40300</v>
      </c>
      <c r="AK62" s="101">
        <v>40300</v>
      </c>
      <c r="AL62" s="101">
        <v>40300</v>
      </c>
      <c r="AM62" s="101">
        <v>40300</v>
      </c>
      <c r="AN62" s="101">
        <v>40300</v>
      </c>
      <c r="AO62" s="101">
        <v>40300</v>
      </c>
      <c r="AP62" s="101">
        <v>40300</v>
      </c>
      <c r="AQ62" s="101">
        <v>40300</v>
      </c>
      <c r="AR62" s="101">
        <v>40300</v>
      </c>
      <c r="AS62" s="101">
        <v>40300</v>
      </c>
      <c r="AT62" s="101">
        <v>40300</v>
      </c>
      <c r="AU62" s="101">
        <v>40300</v>
      </c>
    </row>
    <row r="63" spans="1:47">
      <c r="A63" t="str">
        <f>IF('Plant Data'!A63="","",'Plant Data'!A63)</f>
        <v>ANDAasd2</v>
      </c>
      <c r="B63" s="101">
        <v>40300</v>
      </c>
      <c r="C63" s="101">
        <v>40300</v>
      </c>
      <c r="D63" s="101">
        <v>40300</v>
      </c>
      <c r="E63" s="101">
        <v>40300</v>
      </c>
      <c r="F63" s="101">
        <v>40300</v>
      </c>
      <c r="G63" s="101">
        <v>40300</v>
      </c>
      <c r="H63" s="101">
        <v>40300</v>
      </c>
      <c r="I63" s="101">
        <v>40300</v>
      </c>
      <c r="J63" s="101">
        <v>40300</v>
      </c>
      <c r="K63" s="101">
        <v>40300</v>
      </c>
      <c r="L63" s="101">
        <v>40300</v>
      </c>
      <c r="M63" s="101">
        <v>40300</v>
      </c>
      <c r="N63" s="101">
        <v>40300</v>
      </c>
      <c r="O63" s="101">
        <v>40300</v>
      </c>
      <c r="P63" s="101">
        <v>40300</v>
      </c>
      <c r="Q63" s="101">
        <v>40300</v>
      </c>
      <c r="R63" s="101">
        <v>40300</v>
      </c>
      <c r="S63" s="101">
        <v>40300</v>
      </c>
      <c r="T63" s="101">
        <v>40300</v>
      </c>
      <c r="U63" s="101">
        <v>40300</v>
      </c>
      <c r="V63" s="101">
        <v>40300</v>
      </c>
      <c r="W63" s="101">
        <v>40300</v>
      </c>
      <c r="X63" s="101">
        <v>40300</v>
      </c>
      <c r="Y63" s="101">
        <v>40300</v>
      </c>
      <c r="Z63" s="101">
        <v>40300</v>
      </c>
      <c r="AA63" s="101">
        <v>40300</v>
      </c>
      <c r="AB63" s="101">
        <v>40300</v>
      </c>
      <c r="AC63" s="101">
        <v>40300</v>
      </c>
      <c r="AD63" s="101">
        <v>40300</v>
      </c>
      <c r="AE63" s="101">
        <v>40300</v>
      </c>
      <c r="AF63" s="101">
        <v>40300</v>
      </c>
      <c r="AG63" s="101">
        <v>40300</v>
      </c>
      <c r="AH63" s="101">
        <v>40300</v>
      </c>
      <c r="AI63" s="101">
        <v>40300</v>
      </c>
      <c r="AJ63" s="101">
        <v>40300</v>
      </c>
      <c r="AK63" s="101">
        <v>40300</v>
      </c>
      <c r="AL63" s="101">
        <v>40300</v>
      </c>
      <c r="AM63" s="101">
        <v>40300</v>
      </c>
      <c r="AN63" s="101">
        <v>40300</v>
      </c>
      <c r="AO63" s="101">
        <v>40300</v>
      </c>
      <c r="AP63" s="101">
        <v>40300</v>
      </c>
      <c r="AQ63" s="101">
        <v>40300</v>
      </c>
      <c r="AR63" s="101">
        <v>40300</v>
      </c>
      <c r="AS63" s="101">
        <v>40300</v>
      </c>
      <c r="AT63" s="101">
        <v>40300</v>
      </c>
      <c r="AU63" s="101">
        <v>40300</v>
      </c>
    </row>
    <row r="64" spans="1:47">
      <c r="A64" t="str">
        <f>IF('Plant Data'!A64="","",'Plant Data'!A64)</f>
        <v>ANDAasd3</v>
      </c>
      <c r="B64" s="101">
        <v>40300</v>
      </c>
      <c r="C64" s="101">
        <v>40300</v>
      </c>
      <c r="D64" s="101">
        <v>40300</v>
      </c>
      <c r="E64" s="101">
        <v>40300</v>
      </c>
      <c r="F64" s="101">
        <v>40300</v>
      </c>
      <c r="G64" s="101">
        <v>40300</v>
      </c>
      <c r="H64" s="101">
        <v>40300</v>
      </c>
      <c r="I64" s="101">
        <v>40300</v>
      </c>
      <c r="J64" s="101">
        <v>40300</v>
      </c>
      <c r="K64" s="101">
        <v>40300</v>
      </c>
      <c r="L64" s="101">
        <v>40300</v>
      </c>
      <c r="M64" s="101">
        <v>40300</v>
      </c>
      <c r="N64" s="101">
        <v>40300</v>
      </c>
      <c r="O64" s="101">
        <v>40300</v>
      </c>
      <c r="P64" s="101">
        <v>40300</v>
      </c>
      <c r="Q64" s="101">
        <v>40300</v>
      </c>
      <c r="R64" s="101">
        <v>40300</v>
      </c>
      <c r="S64" s="101">
        <v>40300</v>
      </c>
      <c r="T64" s="101">
        <v>40300</v>
      </c>
      <c r="U64" s="101">
        <v>40300</v>
      </c>
      <c r="V64" s="101">
        <v>40300</v>
      </c>
      <c r="W64" s="101">
        <v>40300</v>
      </c>
      <c r="X64" s="101">
        <v>40300</v>
      </c>
      <c r="Y64" s="101">
        <v>40300</v>
      </c>
      <c r="Z64" s="101">
        <v>40300</v>
      </c>
      <c r="AA64" s="101">
        <v>40300</v>
      </c>
      <c r="AB64" s="101">
        <v>40300</v>
      </c>
      <c r="AC64" s="101">
        <v>40300</v>
      </c>
      <c r="AD64" s="101">
        <v>40300</v>
      </c>
      <c r="AE64" s="101">
        <v>40300</v>
      </c>
      <c r="AF64" s="101">
        <v>40300</v>
      </c>
      <c r="AG64" s="101">
        <v>40300</v>
      </c>
      <c r="AH64" s="101">
        <v>40300</v>
      </c>
      <c r="AI64" s="101">
        <v>40300</v>
      </c>
      <c r="AJ64" s="101">
        <v>40300</v>
      </c>
      <c r="AK64" s="101">
        <v>40300</v>
      </c>
      <c r="AL64" s="101">
        <v>40300</v>
      </c>
      <c r="AM64" s="101">
        <v>40300</v>
      </c>
      <c r="AN64" s="101">
        <v>40300</v>
      </c>
      <c r="AO64" s="101">
        <v>40300</v>
      </c>
      <c r="AP64" s="101">
        <v>40300</v>
      </c>
      <c r="AQ64" s="101">
        <v>40300</v>
      </c>
      <c r="AR64" s="101">
        <v>40300</v>
      </c>
      <c r="AS64" s="101">
        <v>40300</v>
      </c>
      <c r="AT64" s="101">
        <v>40300</v>
      </c>
      <c r="AU64" s="101">
        <v>40300</v>
      </c>
    </row>
    <row r="65" spans="1:47">
      <c r="A65" t="str">
        <f>IF('Plant Data'!A65="","",'Plant Data'!A65)</f>
        <v>ANDAasd4</v>
      </c>
      <c r="B65" s="101">
        <v>40300</v>
      </c>
      <c r="C65" s="101">
        <v>40300</v>
      </c>
      <c r="D65" s="101">
        <v>40300</v>
      </c>
      <c r="E65" s="101">
        <v>40300</v>
      </c>
      <c r="F65" s="101">
        <v>40300</v>
      </c>
      <c r="G65" s="101">
        <v>40300</v>
      </c>
      <c r="H65" s="101">
        <v>40300</v>
      </c>
      <c r="I65" s="101">
        <v>40300</v>
      </c>
      <c r="J65" s="101">
        <v>40300</v>
      </c>
      <c r="K65" s="101">
        <v>40300</v>
      </c>
      <c r="L65" s="101">
        <v>40300</v>
      </c>
      <c r="M65" s="101">
        <v>40300</v>
      </c>
      <c r="N65" s="101">
        <v>40300</v>
      </c>
      <c r="O65" s="101">
        <v>40300</v>
      </c>
      <c r="P65" s="101">
        <v>40300</v>
      </c>
      <c r="Q65" s="101">
        <v>40300</v>
      </c>
      <c r="R65" s="101">
        <v>40300</v>
      </c>
      <c r="S65" s="101">
        <v>40300</v>
      </c>
      <c r="T65" s="101">
        <v>40300</v>
      </c>
      <c r="U65" s="101">
        <v>40300</v>
      </c>
      <c r="V65" s="101">
        <v>40300</v>
      </c>
      <c r="W65" s="101">
        <v>40300</v>
      </c>
      <c r="X65" s="101">
        <v>40300</v>
      </c>
      <c r="Y65" s="101">
        <v>40300</v>
      </c>
      <c r="Z65" s="101">
        <v>40300</v>
      </c>
      <c r="AA65" s="101">
        <v>40300</v>
      </c>
      <c r="AB65" s="101">
        <v>40300</v>
      </c>
      <c r="AC65" s="101">
        <v>40300</v>
      </c>
      <c r="AD65" s="101">
        <v>40300</v>
      </c>
      <c r="AE65" s="101">
        <v>40300</v>
      </c>
      <c r="AF65" s="101">
        <v>40300</v>
      </c>
      <c r="AG65" s="101">
        <v>40300</v>
      </c>
      <c r="AH65" s="101">
        <v>40300</v>
      </c>
      <c r="AI65" s="101">
        <v>40300</v>
      </c>
      <c r="AJ65" s="101">
        <v>40300</v>
      </c>
      <c r="AK65" s="101">
        <v>40300</v>
      </c>
      <c r="AL65" s="101">
        <v>40300</v>
      </c>
      <c r="AM65" s="101">
        <v>40300</v>
      </c>
      <c r="AN65" s="101">
        <v>40300</v>
      </c>
      <c r="AO65" s="101">
        <v>40300</v>
      </c>
      <c r="AP65" s="101">
        <v>40300</v>
      </c>
      <c r="AQ65" s="101">
        <v>40300</v>
      </c>
      <c r="AR65" s="101">
        <v>40300</v>
      </c>
      <c r="AS65" s="101">
        <v>40300</v>
      </c>
      <c r="AT65" s="101">
        <v>40300</v>
      </c>
      <c r="AU65" s="101">
        <v>40300</v>
      </c>
    </row>
    <row r="66" spans="1:47">
      <c r="A66" t="str">
        <f>IF('Plant Data'!A66="","",'Plant Data'!A66)</f>
        <v>ANDAasd5</v>
      </c>
      <c r="B66" s="101">
        <v>40300</v>
      </c>
      <c r="C66" s="101">
        <v>40300</v>
      </c>
      <c r="D66" s="101">
        <v>40300</v>
      </c>
      <c r="E66" s="101">
        <v>40300</v>
      </c>
      <c r="F66" s="101">
        <v>40300</v>
      </c>
      <c r="G66" s="101">
        <v>40300</v>
      </c>
      <c r="H66" s="101">
        <v>40300</v>
      </c>
      <c r="I66" s="101">
        <v>40300</v>
      </c>
      <c r="J66" s="101">
        <v>40300</v>
      </c>
      <c r="K66" s="101">
        <v>40300</v>
      </c>
      <c r="L66" s="101">
        <v>40300</v>
      </c>
      <c r="M66" s="101">
        <v>40300</v>
      </c>
      <c r="N66" s="101">
        <v>40300</v>
      </c>
      <c r="O66" s="101">
        <v>40300</v>
      </c>
      <c r="P66" s="101">
        <v>40300</v>
      </c>
      <c r="Q66" s="101">
        <v>40300</v>
      </c>
      <c r="R66" s="101">
        <v>40300</v>
      </c>
      <c r="S66" s="101">
        <v>40300</v>
      </c>
      <c r="T66" s="101">
        <v>40300</v>
      </c>
      <c r="U66" s="101">
        <v>40300</v>
      </c>
      <c r="V66" s="101">
        <v>40300</v>
      </c>
      <c r="W66" s="101">
        <v>40300</v>
      </c>
      <c r="X66" s="101">
        <v>40300</v>
      </c>
      <c r="Y66" s="101">
        <v>40300</v>
      </c>
      <c r="Z66" s="101">
        <v>40300</v>
      </c>
      <c r="AA66" s="101">
        <v>40300</v>
      </c>
      <c r="AB66" s="101">
        <v>40300</v>
      </c>
      <c r="AC66" s="101">
        <v>40300</v>
      </c>
      <c r="AD66" s="101">
        <v>40300</v>
      </c>
      <c r="AE66" s="101">
        <v>40300</v>
      </c>
      <c r="AF66" s="101">
        <v>40300</v>
      </c>
      <c r="AG66" s="101">
        <v>40300</v>
      </c>
      <c r="AH66" s="101">
        <v>40300</v>
      </c>
      <c r="AI66" s="101">
        <v>40300</v>
      </c>
      <c r="AJ66" s="101">
        <v>40300</v>
      </c>
      <c r="AK66" s="101">
        <v>40300</v>
      </c>
      <c r="AL66" s="101">
        <v>40300</v>
      </c>
      <c r="AM66" s="101">
        <v>40300</v>
      </c>
      <c r="AN66" s="101">
        <v>40300</v>
      </c>
      <c r="AO66" s="101">
        <v>40300</v>
      </c>
      <c r="AP66" s="101">
        <v>40300</v>
      </c>
      <c r="AQ66" s="101">
        <v>40300</v>
      </c>
      <c r="AR66" s="101">
        <v>40300</v>
      </c>
      <c r="AS66" s="101">
        <v>40300</v>
      </c>
      <c r="AT66" s="101">
        <v>40300</v>
      </c>
      <c r="AU66" s="101">
        <v>40300</v>
      </c>
    </row>
    <row r="67" spans="1:47">
      <c r="A67" t="str">
        <f>IF('Plant Data'!A67="","",'Plant Data'!A67)</f>
        <v>ANDAasd6</v>
      </c>
      <c r="B67" s="101">
        <v>40300</v>
      </c>
      <c r="C67" s="101">
        <v>40300</v>
      </c>
      <c r="D67" s="101">
        <v>40300</v>
      </c>
      <c r="E67" s="101">
        <v>40300</v>
      </c>
      <c r="F67" s="101">
        <v>40300</v>
      </c>
      <c r="G67" s="101">
        <v>40300</v>
      </c>
      <c r="H67" s="101">
        <v>40300</v>
      </c>
      <c r="I67" s="101">
        <v>40300</v>
      </c>
      <c r="J67" s="101">
        <v>40300</v>
      </c>
      <c r="K67" s="101">
        <v>40300</v>
      </c>
      <c r="L67" s="101">
        <v>40300</v>
      </c>
      <c r="M67" s="101">
        <v>40300</v>
      </c>
      <c r="N67" s="101">
        <v>40300</v>
      </c>
      <c r="O67" s="101">
        <v>40300</v>
      </c>
      <c r="P67" s="101">
        <v>40300</v>
      </c>
      <c r="Q67" s="101">
        <v>40300</v>
      </c>
      <c r="R67" s="101">
        <v>40300</v>
      </c>
      <c r="S67" s="101">
        <v>40300</v>
      </c>
      <c r="T67" s="101">
        <v>40300</v>
      </c>
      <c r="U67" s="101">
        <v>40300</v>
      </c>
      <c r="V67" s="101">
        <v>40300</v>
      </c>
      <c r="W67" s="101">
        <v>40300</v>
      </c>
      <c r="X67" s="101">
        <v>40300</v>
      </c>
      <c r="Y67" s="101">
        <v>40300</v>
      </c>
      <c r="Z67" s="101">
        <v>40300</v>
      </c>
      <c r="AA67" s="101">
        <v>40300</v>
      </c>
      <c r="AB67" s="101">
        <v>40300</v>
      </c>
      <c r="AC67" s="101">
        <v>40300</v>
      </c>
      <c r="AD67" s="101">
        <v>40300</v>
      </c>
      <c r="AE67" s="101">
        <v>40300</v>
      </c>
      <c r="AF67" s="101">
        <v>40300</v>
      </c>
      <c r="AG67" s="101">
        <v>40300</v>
      </c>
      <c r="AH67" s="101">
        <v>40300</v>
      </c>
      <c r="AI67" s="101">
        <v>40300</v>
      </c>
      <c r="AJ67" s="101">
        <v>40300</v>
      </c>
      <c r="AK67" s="101">
        <v>40300</v>
      </c>
      <c r="AL67" s="101">
        <v>40300</v>
      </c>
      <c r="AM67" s="101">
        <v>40300</v>
      </c>
      <c r="AN67" s="101">
        <v>40300</v>
      </c>
      <c r="AO67" s="101">
        <v>40300</v>
      </c>
      <c r="AP67" s="101">
        <v>40300</v>
      </c>
      <c r="AQ67" s="101">
        <v>40300</v>
      </c>
      <c r="AR67" s="101">
        <v>40300</v>
      </c>
      <c r="AS67" s="101">
        <v>40300</v>
      </c>
      <c r="AT67" s="101">
        <v>40300</v>
      </c>
      <c r="AU67" s="101">
        <v>40300</v>
      </c>
    </row>
    <row r="68" spans="1:47">
      <c r="A68" t="str">
        <f>IF('Plant Data'!A68="","",'Plant Data'!A68)</f>
        <v>ANDAasd7</v>
      </c>
      <c r="B68" s="101">
        <v>40300</v>
      </c>
      <c r="C68" s="101">
        <v>40300</v>
      </c>
      <c r="D68" s="101">
        <v>40300</v>
      </c>
      <c r="E68" s="101">
        <v>40300</v>
      </c>
      <c r="F68" s="101">
        <v>40300</v>
      </c>
      <c r="G68" s="101">
        <v>40300</v>
      </c>
      <c r="H68" s="101">
        <v>40300</v>
      </c>
      <c r="I68" s="101">
        <v>40300</v>
      </c>
      <c r="J68" s="101">
        <v>40300</v>
      </c>
      <c r="K68" s="101">
        <v>40300</v>
      </c>
      <c r="L68" s="101">
        <v>40300</v>
      </c>
      <c r="M68" s="101">
        <v>40300</v>
      </c>
      <c r="N68" s="101">
        <v>40300</v>
      </c>
      <c r="O68" s="101">
        <v>40300</v>
      </c>
      <c r="P68" s="101">
        <v>40300</v>
      </c>
      <c r="Q68" s="101">
        <v>40300</v>
      </c>
      <c r="R68" s="101">
        <v>40300</v>
      </c>
      <c r="S68" s="101">
        <v>40300</v>
      </c>
      <c r="T68" s="101">
        <v>40300</v>
      </c>
      <c r="U68" s="101">
        <v>40300</v>
      </c>
      <c r="V68" s="101">
        <v>40300</v>
      </c>
      <c r="W68" s="101">
        <v>40300</v>
      </c>
      <c r="X68" s="101">
        <v>40300</v>
      </c>
      <c r="Y68" s="101">
        <v>40300</v>
      </c>
      <c r="Z68" s="101">
        <v>40300</v>
      </c>
      <c r="AA68" s="101">
        <v>40300</v>
      </c>
      <c r="AB68" s="101">
        <v>40300</v>
      </c>
      <c r="AC68" s="101">
        <v>40300</v>
      </c>
      <c r="AD68" s="101">
        <v>40300</v>
      </c>
      <c r="AE68" s="101">
        <v>40300</v>
      </c>
      <c r="AF68" s="101">
        <v>40300</v>
      </c>
      <c r="AG68" s="101">
        <v>40300</v>
      </c>
      <c r="AH68" s="101">
        <v>40300</v>
      </c>
      <c r="AI68" s="101">
        <v>40300</v>
      </c>
      <c r="AJ68" s="101">
        <v>40300</v>
      </c>
      <c r="AK68" s="101">
        <v>40300</v>
      </c>
      <c r="AL68" s="101">
        <v>40300</v>
      </c>
      <c r="AM68" s="101">
        <v>40300</v>
      </c>
      <c r="AN68" s="101">
        <v>40300</v>
      </c>
      <c r="AO68" s="101">
        <v>40300</v>
      </c>
      <c r="AP68" s="101">
        <v>40300</v>
      </c>
      <c r="AQ68" s="101">
        <v>40300</v>
      </c>
      <c r="AR68" s="101">
        <v>40300</v>
      </c>
      <c r="AS68" s="101">
        <v>40300</v>
      </c>
      <c r="AT68" s="101">
        <v>40300</v>
      </c>
      <c r="AU68" s="101">
        <v>40300</v>
      </c>
    </row>
    <row r="69" spans="1:47">
      <c r="A69" t="str">
        <f>IF('Plant Data'!A69="","",'Plant Data'!A69)</f>
        <v>ANDAasd8</v>
      </c>
      <c r="B69" s="101">
        <v>40300</v>
      </c>
      <c r="C69" s="101">
        <v>40300</v>
      </c>
      <c r="D69" s="101">
        <v>40300</v>
      </c>
      <c r="E69" s="101">
        <v>40300</v>
      </c>
      <c r="F69" s="101">
        <v>40300</v>
      </c>
      <c r="G69" s="101">
        <v>40300</v>
      </c>
      <c r="H69" s="101">
        <v>40300</v>
      </c>
      <c r="I69" s="101">
        <v>40300</v>
      </c>
      <c r="J69" s="101">
        <v>40300</v>
      </c>
      <c r="K69" s="101">
        <v>40300</v>
      </c>
      <c r="L69" s="101">
        <v>40300</v>
      </c>
      <c r="M69" s="101">
        <v>40300</v>
      </c>
      <c r="N69" s="101">
        <v>40300</v>
      </c>
      <c r="O69" s="101">
        <v>40300</v>
      </c>
      <c r="P69" s="101">
        <v>40300</v>
      </c>
      <c r="Q69" s="101">
        <v>40300</v>
      </c>
      <c r="R69" s="101">
        <v>40300</v>
      </c>
      <c r="S69" s="101">
        <v>40300</v>
      </c>
      <c r="T69" s="101">
        <v>40300</v>
      </c>
      <c r="U69" s="101">
        <v>40300</v>
      </c>
      <c r="V69" s="101">
        <v>40300</v>
      </c>
      <c r="W69" s="101">
        <v>40300</v>
      </c>
      <c r="X69" s="101">
        <v>40300</v>
      </c>
      <c r="Y69" s="101">
        <v>40300</v>
      </c>
      <c r="Z69" s="101">
        <v>40300</v>
      </c>
      <c r="AA69" s="101">
        <v>40300</v>
      </c>
      <c r="AB69" s="101">
        <v>40300</v>
      </c>
      <c r="AC69" s="101">
        <v>40300</v>
      </c>
      <c r="AD69" s="101">
        <v>40300</v>
      </c>
      <c r="AE69" s="101">
        <v>40300</v>
      </c>
      <c r="AF69" s="101">
        <v>40300</v>
      </c>
      <c r="AG69" s="101">
        <v>40300</v>
      </c>
      <c r="AH69" s="101">
        <v>40300</v>
      </c>
      <c r="AI69" s="101">
        <v>40300</v>
      </c>
      <c r="AJ69" s="101">
        <v>40300</v>
      </c>
      <c r="AK69" s="101">
        <v>40300</v>
      </c>
      <c r="AL69" s="101">
        <v>40300</v>
      </c>
      <c r="AM69" s="101">
        <v>40300</v>
      </c>
      <c r="AN69" s="101">
        <v>40300</v>
      </c>
      <c r="AO69" s="101">
        <v>40300</v>
      </c>
      <c r="AP69" s="101">
        <v>40300</v>
      </c>
      <c r="AQ69" s="101">
        <v>40300</v>
      </c>
      <c r="AR69" s="101">
        <v>40300</v>
      </c>
      <c r="AS69" s="101">
        <v>40300</v>
      </c>
      <c r="AT69" s="101">
        <v>40300</v>
      </c>
      <c r="AU69" s="101">
        <v>40300</v>
      </c>
    </row>
    <row r="70" spans="1:47">
      <c r="A70" t="str">
        <f>IF('Plant Data'!A70="","",'Plant Data'!A70)</f>
        <v>ANDAasd9</v>
      </c>
      <c r="B70" s="101">
        <v>40300</v>
      </c>
      <c r="C70" s="101">
        <v>40300</v>
      </c>
      <c r="D70" s="101">
        <v>40300</v>
      </c>
      <c r="E70" s="101">
        <v>40300</v>
      </c>
      <c r="F70" s="101">
        <v>40300</v>
      </c>
      <c r="G70" s="101">
        <v>40300</v>
      </c>
      <c r="H70" s="101">
        <v>40300</v>
      </c>
      <c r="I70" s="101">
        <v>40300</v>
      </c>
      <c r="J70" s="101">
        <v>40300</v>
      </c>
      <c r="K70" s="101">
        <v>40300</v>
      </c>
      <c r="L70" s="101">
        <v>40300</v>
      </c>
      <c r="M70" s="101">
        <v>40300</v>
      </c>
      <c r="N70" s="101">
        <v>40300</v>
      </c>
      <c r="O70" s="101">
        <v>40300</v>
      </c>
      <c r="P70" s="101">
        <v>40300</v>
      </c>
      <c r="Q70" s="101">
        <v>40300</v>
      </c>
      <c r="R70" s="101">
        <v>40300</v>
      </c>
      <c r="S70" s="101">
        <v>40300</v>
      </c>
      <c r="T70" s="101">
        <v>40300</v>
      </c>
      <c r="U70" s="101">
        <v>40300</v>
      </c>
      <c r="V70" s="101">
        <v>40300</v>
      </c>
      <c r="W70" s="101">
        <v>40300</v>
      </c>
      <c r="X70" s="101">
        <v>40300</v>
      </c>
      <c r="Y70" s="101">
        <v>40300</v>
      </c>
      <c r="Z70" s="101">
        <v>40300</v>
      </c>
      <c r="AA70" s="101">
        <v>40300</v>
      </c>
      <c r="AB70" s="101">
        <v>40300</v>
      </c>
      <c r="AC70" s="101">
        <v>40300</v>
      </c>
      <c r="AD70" s="101">
        <v>40300</v>
      </c>
      <c r="AE70" s="101">
        <v>40300</v>
      </c>
      <c r="AF70" s="101">
        <v>40300</v>
      </c>
      <c r="AG70" s="101">
        <v>40300</v>
      </c>
      <c r="AH70" s="101">
        <v>40300</v>
      </c>
      <c r="AI70" s="101">
        <v>40300</v>
      </c>
      <c r="AJ70" s="101">
        <v>40300</v>
      </c>
      <c r="AK70" s="101">
        <v>40300</v>
      </c>
      <c r="AL70" s="101">
        <v>40300</v>
      </c>
      <c r="AM70" s="101">
        <v>40300</v>
      </c>
      <c r="AN70" s="101">
        <v>40300</v>
      </c>
      <c r="AO70" s="101">
        <v>40300</v>
      </c>
      <c r="AP70" s="101">
        <v>40300</v>
      </c>
      <c r="AQ70" s="101">
        <v>40300</v>
      </c>
      <c r="AR70" s="101">
        <v>40300</v>
      </c>
      <c r="AS70" s="101">
        <v>40300</v>
      </c>
      <c r="AT70" s="101">
        <v>40300</v>
      </c>
      <c r="AU70" s="101">
        <v>40300</v>
      </c>
    </row>
    <row r="71" spans="1:47">
      <c r="A71" t="str">
        <f>IF('Plant Data'!A71="","",'Plant Data'!A71)</f>
        <v>ANDAasd10</v>
      </c>
      <c r="B71" s="101">
        <v>40300</v>
      </c>
      <c r="C71" s="101">
        <v>40300</v>
      </c>
      <c r="D71" s="101">
        <v>40300</v>
      </c>
      <c r="E71" s="101">
        <v>40300</v>
      </c>
      <c r="F71" s="101">
        <v>40300</v>
      </c>
      <c r="G71" s="101">
        <v>40300</v>
      </c>
      <c r="H71" s="101">
        <v>40300</v>
      </c>
      <c r="I71" s="101">
        <v>40300</v>
      </c>
      <c r="J71" s="101">
        <v>40300</v>
      </c>
      <c r="K71" s="101">
        <v>40300</v>
      </c>
      <c r="L71" s="101">
        <v>40300</v>
      </c>
      <c r="M71" s="101">
        <v>40300</v>
      </c>
      <c r="N71" s="101">
        <v>40300</v>
      </c>
      <c r="O71" s="101">
        <v>40300</v>
      </c>
      <c r="P71" s="101">
        <v>40300</v>
      </c>
      <c r="Q71" s="101">
        <v>40300</v>
      </c>
      <c r="R71" s="101">
        <v>40300</v>
      </c>
      <c r="S71" s="101">
        <v>40300</v>
      </c>
      <c r="T71" s="101">
        <v>40300</v>
      </c>
      <c r="U71" s="101">
        <v>40300</v>
      </c>
      <c r="V71" s="101">
        <v>40300</v>
      </c>
      <c r="W71" s="101">
        <v>40300</v>
      </c>
      <c r="X71" s="101">
        <v>40300</v>
      </c>
      <c r="Y71" s="101">
        <v>40300</v>
      </c>
      <c r="Z71" s="101">
        <v>40300</v>
      </c>
      <c r="AA71" s="101">
        <v>40300</v>
      </c>
      <c r="AB71" s="101">
        <v>40300</v>
      </c>
      <c r="AC71" s="101">
        <v>40300</v>
      </c>
      <c r="AD71" s="101">
        <v>40300</v>
      </c>
      <c r="AE71" s="101">
        <v>40300</v>
      </c>
      <c r="AF71" s="101">
        <v>40300</v>
      </c>
      <c r="AG71" s="101">
        <v>40300</v>
      </c>
      <c r="AH71" s="101">
        <v>40300</v>
      </c>
      <c r="AI71" s="101">
        <v>40300</v>
      </c>
      <c r="AJ71" s="101">
        <v>40300</v>
      </c>
      <c r="AK71" s="101">
        <v>40300</v>
      </c>
      <c r="AL71" s="101">
        <v>40300</v>
      </c>
      <c r="AM71" s="101">
        <v>40300</v>
      </c>
      <c r="AN71" s="101">
        <v>40300</v>
      </c>
      <c r="AO71" s="101">
        <v>40300</v>
      </c>
      <c r="AP71" s="101">
        <v>40300</v>
      </c>
      <c r="AQ71" s="101">
        <v>40300</v>
      </c>
      <c r="AR71" s="101">
        <v>40300</v>
      </c>
      <c r="AS71" s="101">
        <v>40300</v>
      </c>
      <c r="AT71" s="101">
        <v>40300</v>
      </c>
      <c r="AU71" s="101">
        <v>40300</v>
      </c>
    </row>
    <row r="72" spans="1:47">
      <c r="A72" t="str">
        <f>IF('Plant Data'!A72="","",'Plant Data'!A72)</f>
        <v>ANDAasd11</v>
      </c>
      <c r="B72" s="101">
        <v>40300</v>
      </c>
      <c r="C72" s="101">
        <v>40300</v>
      </c>
      <c r="D72" s="101">
        <v>40300</v>
      </c>
      <c r="E72" s="101">
        <v>40300</v>
      </c>
      <c r="F72" s="101">
        <v>40300</v>
      </c>
      <c r="G72" s="101">
        <v>40300</v>
      </c>
      <c r="H72" s="101">
        <v>40300</v>
      </c>
      <c r="I72" s="101">
        <v>40300</v>
      </c>
      <c r="J72" s="101">
        <v>40300</v>
      </c>
      <c r="K72" s="101">
        <v>40300</v>
      </c>
      <c r="L72" s="101">
        <v>40300</v>
      </c>
      <c r="M72" s="101">
        <v>40300</v>
      </c>
      <c r="N72" s="101">
        <v>40300</v>
      </c>
      <c r="O72" s="101">
        <v>40300</v>
      </c>
      <c r="P72" s="101">
        <v>40300</v>
      </c>
      <c r="Q72" s="101">
        <v>40300</v>
      </c>
      <c r="R72" s="101">
        <v>40300</v>
      </c>
      <c r="S72" s="101">
        <v>40300</v>
      </c>
      <c r="T72" s="101">
        <v>40300</v>
      </c>
      <c r="U72" s="101">
        <v>40300</v>
      </c>
      <c r="V72" s="101">
        <v>40300</v>
      </c>
      <c r="W72" s="101">
        <v>40300</v>
      </c>
      <c r="X72" s="101">
        <v>40300</v>
      </c>
      <c r="Y72" s="101">
        <v>40300</v>
      </c>
      <c r="Z72" s="101">
        <v>40300</v>
      </c>
      <c r="AA72" s="101">
        <v>40300</v>
      </c>
      <c r="AB72" s="101">
        <v>40300</v>
      </c>
      <c r="AC72" s="101">
        <v>40300</v>
      </c>
      <c r="AD72" s="101">
        <v>40300</v>
      </c>
      <c r="AE72" s="101">
        <v>40300</v>
      </c>
      <c r="AF72" s="101">
        <v>40300</v>
      </c>
      <c r="AG72" s="101">
        <v>40300</v>
      </c>
      <c r="AH72" s="101">
        <v>40300</v>
      </c>
      <c r="AI72" s="101">
        <v>40300</v>
      </c>
      <c r="AJ72" s="101">
        <v>40300</v>
      </c>
      <c r="AK72" s="101">
        <v>40300</v>
      </c>
      <c r="AL72" s="101">
        <v>40300</v>
      </c>
      <c r="AM72" s="101">
        <v>40300</v>
      </c>
      <c r="AN72" s="101">
        <v>40300</v>
      </c>
      <c r="AO72" s="101">
        <v>40300</v>
      </c>
      <c r="AP72" s="101">
        <v>40300</v>
      </c>
      <c r="AQ72" s="101">
        <v>40300</v>
      </c>
      <c r="AR72" s="101">
        <v>40300</v>
      </c>
      <c r="AS72" s="101">
        <v>40300</v>
      </c>
      <c r="AT72" s="101">
        <v>40300</v>
      </c>
      <c r="AU72" s="101">
        <v>40300</v>
      </c>
    </row>
    <row r="73" spans="1:47">
      <c r="A73" t="str">
        <f>IF('Plant Data'!A73="","",'Plant Data'!A73)</f>
        <v>ANDAasd12</v>
      </c>
      <c r="B73" s="101">
        <v>40300</v>
      </c>
      <c r="C73" s="101">
        <v>40300</v>
      </c>
      <c r="D73" s="101">
        <v>40300</v>
      </c>
      <c r="E73" s="101">
        <v>40300</v>
      </c>
      <c r="F73" s="101">
        <v>40300</v>
      </c>
      <c r="G73" s="101">
        <v>40300</v>
      </c>
      <c r="H73" s="101">
        <v>40300</v>
      </c>
      <c r="I73" s="101">
        <v>40300</v>
      </c>
      <c r="J73" s="101">
        <v>40300</v>
      </c>
      <c r="K73" s="101">
        <v>40300</v>
      </c>
      <c r="L73" s="101">
        <v>40300</v>
      </c>
      <c r="M73" s="101">
        <v>40300</v>
      </c>
      <c r="N73" s="101">
        <v>40300</v>
      </c>
      <c r="O73" s="101">
        <v>40300</v>
      </c>
      <c r="P73" s="101">
        <v>40300</v>
      </c>
      <c r="Q73" s="101">
        <v>40300</v>
      </c>
      <c r="R73" s="101">
        <v>40300</v>
      </c>
      <c r="S73" s="101">
        <v>40300</v>
      </c>
      <c r="T73" s="101">
        <v>40300</v>
      </c>
      <c r="U73" s="101">
        <v>40300</v>
      </c>
      <c r="V73" s="101">
        <v>40300</v>
      </c>
      <c r="W73" s="101">
        <v>40300</v>
      </c>
      <c r="X73" s="101">
        <v>40300</v>
      </c>
      <c r="Y73" s="101">
        <v>40300</v>
      </c>
      <c r="Z73" s="101">
        <v>40300</v>
      </c>
      <c r="AA73" s="101">
        <v>40300</v>
      </c>
      <c r="AB73" s="101">
        <v>40300</v>
      </c>
      <c r="AC73" s="101">
        <v>40300</v>
      </c>
      <c r="AD73" s="101">
        <v>40300</v>
      </c>
      <c r="AE73" s="101">
        <v>40300</v>
      </c>
      <c r="AF73" s="101">
        <v>40300</v>
      </c>
      <c r="AG73" s="101">
        <v>40300</v>
      </c>
      <c r="AH73" s="101">
        <v>40300</v>
      </c>
      <c r="AI73" s="101">
        <v>40300</v>
      </c>
      <c r="AJ73" s="101">
        <v>40300</v>
      </c>
      <c r="AK73" s="101">
        <v>40300</v>
      </c>
      <c r="AL73" s="101">
        <v>40300</v>
      </c>
      <c r="AM73" s="101">
        <v>40300</v>
      </c>
      <c r="AN73" s="101">
        <v>40300</v>
      </c>
      <c r="AO73" s="101">
        <v>40300</v>
      </c>
      <c r="AP73" s="101">
        <v>40300</v>
      </c>
      <c r="AQ73" s="101">
        <v>40300</v>
      </c>
      <c r="AR73" s="101">
        <v>40300</v>
      </c>
      <c r="AS73" s="101">
        <v>40300</v>
      </c>
      <c r="AT73" s="101">
        <v>40300</v>
      </c>
      <c r="AU73" s="101">
        <v>40300</v>
      </c>
    </row>
    <row r="74" spans="1:47">
      <c r="A74" t="str">
        <f>IF('Plant Data'!A74="","",'Plant Data'!A74)</f>
        <v>ANDAasd13</v>
      </c>
      <c r="B74" s="101">
        <v>40300</v>
      </c>
      <c r="C74" s="101">
        <v>40300</v>
      </c>
      <c r="D74" s="101">
        <v>40300</v>
      </c>
      <c r="E74" s="101">
        <v>40300</v>
      </c>
      <c r="F74" s="101">
        <v>40300</v>
      </c>
      <c r="G74" s="101">
        <v>40300</v>
      </c>
      <c r="H74" s="101">
        <v>40300</v>
      </c>
      <c r="I74" s="101">
        <v>40300</v>
      </c>
      <c r="J74" s="101">
        <v>40300</v>
      </c>
      <c r="K74" s="101">
        <v>40300</v>
      </c>
      <c r="L74" s="101">
        <v>40300</v>
      </c>
      <c r="M74" s="101">
        <v>40300</v>
      </c>
      <c r="N74" s="101">
        <v>40300</v>
      </c>
      <c r="O74" s="101">
        <v>40300</v>
      </c>
      <c r="P74" s="101">
        <v>40300</v>
      </c>
      <c r="Q74" s="101">
        <v>40300</v>
      </c>
      <c r="R74" s="101">
        <v>40300</v>
      </c>
      <c r="S74" s="101">
        <v>40300</v>
      </c>
      <c r="T74" s="101">
        <v>40300</v>
      </c>
      <c r="U74" s="101">
        <v>40300</v>
      </c>
      <c r="V74" s="101">
        <v>40300</v>
      </c>
      <c r="W74" s="101">
        <v>40300</v>
      </c>
      <c r="X74" s="101">
        <v>40300</v>
      </c>
      <c r="Y74" s="101">
        <v>40300</v>
      </c>
      <c r="Z74" s="101">
        <v>40300</v>
      </c>
      <c r="AA74" s="101">
        <v>40300</v>
      </c>
      <c r="AB74" s="101">
        <v>40300</v>
      </c>
      <c r="AC74" s="101">
        <v>40300</v>
      </c>
      <c r="AD74" s="101">
        <v>40300</v>
      </c>
      <c r="AE74" s="101">
        <v>40300</v>
      </c>
      <c r="AF74" s="101">
        <v>40300</v>
      </c>
      <c r="AG74" s="101">
        <v>40300</v>
      </c>
      <c r="AH74" s="101">
        <v>40300</v>
      </c>
      <c r="AI74" s="101">
        <v>40300</v>
      </c>
      <c r="AJ74" s="101">
        <v>40300</v>
      </c>
      <c r="AK74" s="101">
        <v>40300</v>
      </c>
      <c r="AL74" s="101">
        <v>40300</v>
      </c>
      <c r="AM74" s="101">
        <v>40300</v>
      </c>
      <c r="AN74" s="101">
        <v>40300</v>
      </c>
      <c r="AO74" s="101">
        <v>40300</v>
      </c>
      <c r="AP74" s="101">
        <v>40300</v>
      </c>
      <c r="AQ74" s="101">
        <v>40300</v>
      </c>
      <c r="AR74" s="101">
        <v>40300</v>
      </c>
      <c r="AS74" s="101">
        <v>40300</v>
      </c>
      <c r="AT74" s="101">
        <v>40300</v>
      </c>
      <c r="AU74" s="101">
        <v>40300</v>
      </c>
    </row>
    <row r="75" spans="1:47">
      <c r="A75" t="str">
        <f>IF('Plant Data'!A75="","",'Plant Data'!A75)</f>
        <v>ANDAasd14</v>
      </c>
      <c r="B75" s="101">
        <v>40300</v>
      </c>
      <c r="C75" s="101">
        <v>40300</v>
      </c>
      <c r="D75" s="101">
        <v>40300</v>
      </c>
      <c r="E75" s="101">
        <v>40300</v>
      </c>
      <c r="F75" s="101">
        <v>40300</v>
      </c>
      <c r="G75" s="101">
        <v>40300</v>
      </c>
      <c r="H75" s="101">
        <v>40300</v>
      </c>
      <c r="I75" s="101">
        <v>40300</v>
      </c>
      <c r="J75" s="101">
        <v>40300</v>
      </c>
      <c r="K75" s="101">
        <v>40300</v>
      </c>
      <c r="L75" s="101">
        <v>40300</v>
      </c>
      <c r="M75" s="101">
        <v>40300</v>
      </c>
      <c r="N75" s="101">
        <v>40300</v>
      </c>
      <c r="O75" s="101">
        <v>40300</v>
      </c>
      <c r="P75" s="101">
        <v>40300</v>
      </c>
      <c r="Q75" s="101">
        <v>40300</v>
      </c>
      <c r="R75" s="101">
        <v>40300</v>
      </c>
      <c r="S75" s="101">
        <v>40300</v>
      </c>
      <c r="T75" s="101">
        <v>40300</v>
      </c>
      <c r="U75" s="101">
        <v>40300</v>
      </c>
      <c r="V75" s="101">
        <v>40300</v>
      </c>
      <c r="W75" s="101">
        <v>40300</v>
      </c>
      <c r="X75" s="101">
        <v>40300</v>
      </c>
      <c r="Y75" s="101">
        <v>40300</v>
      </c>
      <c r="Z75" s="101">
        <v>40300</v>
      </c>
      <c r="AA75" s="101">
        <v>40300</v>
      </c>
      <c r="AB75" s="101">
        <v>40300</v>
      </c>
      <c r="AC75" s="101">
        <v>40300</v>
      </c>
      <c r="AD75" s="101">
        <v>40300</v>
      </c>
      <c r="AE75" s="101">
        <v>40300</v>
      </c>
      <c r="AF75" s="101">
        <v>40300</v>
      </c>
      <c r="AG75" s="101">
        <v>40300</v>
      </c>
      <c r="AH75" s="101">
        <v>40300</v>
      </c>
      <c r="AI75" s="101">
        <v>40300</v>
      </c>
      <c r="AJ75" s="101">
        <v>40300</v>
      </c>
      <c r="AK75" s="101">
        <v>40300</v>
      </c>
      <c r="AL75" s="101">
        <v>40300</v>
      </c>
      <c r="AM75" s="101">
        <v>40300</v>
      </c>
      <c r="AN75" s="101">
        <v>40300</v>
      </c>
      <c r="AO75" s="101">
        <v>40300</v>
      </c>
      <c r="AP75" s="101">
        <v>40300</v>
      </c>
      <c r="AQ75" s="101">
        <v>40300</v>
      </c>
      <c r="AR75" s="101">
        <v>40300</v>
      </c>
      <c r="AS75" s="101">
        <v>40300</v>
      </c>
      <c r="AT75" s="101">
        <v>40300</v>
      </c>
      <c r="AU75" s="101">
        <v>40300</v>
      </c>
    </row>
    <row r="76" spans="1:47">
      <c r="A76" t="str">
        <f>IF('Plant Data'!A76="","",'Plant Data'!A76)</f>
        <v>ANDAasd15</v>
      </c>
      <c r="B76" s="101">
        <v>40300</v>
      </c>
      <c r="C76" s="101">
        <v>40300</v>
      </c>
      <c r="D76" s="101">
        <v>40300</v>
      </c>
      <c r="E76" s="101">
        <v>40300</v>
      </c>
      <c r="F76" s="101">
        <v>40300</v>
      </c>
      <c r="G76" s="101">
        <v>40300</v>
      </c>
      <c r="H76" s="101">
        <v>40300</v>
      </c>
      <c r="I76" s="101">
        <v>40300</v>
      </c>
      <c r="J76" s="101">
        <v>40300</v>
      </c>
      <c r="K76" s="101">
        <v>40300</v>
      </c>
      <c r="L76" s="101">
        <v>40300</v>
      </c>
      <c r="M76" s="101">
        <v>40300</v>
      </c>
      <c r="N76" s="101">
        <v>40300</v>
      </c>
      <c r="O76" s="101">
        <v>40300</v>
      </c>
      <c r="P76" s="101">
        <v>40300</v>
      </c>
      <c r="Q76" s="101">
        <v>40300</v>
      </c>
      <c r="R76" s="101">
        <v>40300</v>
      </c>
      <c r="S76" s="101">
        <v>40300</v>
      </c>
      <c r="T76" s="101">
        <v>40300</v>
      </c>
      <c r="U76" s="101">
        <v>40300</v>
      </c>
      <c r="V76" s="101">
        <v>40300</v>
      </c>
      <c r="W76" s="101">
        <v>40300</v>
      </c>
      <c r="X76" s="101">
        <v>40300</v>
      </c>
      <c r="Y76" s="101">
        <v>40300</v>
      </c>
      <c r="Z76" s="101">
        <v>40300</v>
      </c>
      <c r="AA76" s="101">
        <v>40300</v>
      </c>
      <c r="AB76" s="101">
        <v>40300</v>
      </c>
      <c r="AC76" s="101">
        <v>40300</v>
      </c>
      <c r="AD76" s="101">
        <v>40300</v>
      </c>
      <c r="AE76" s="101">
        <v>40300</v>
      </c>
      <c r="AF76" s="101">
        <v>40300</v>
      </c>
      <c r="AG76" s="101">
        <v>40300</v>
      </c>
      <c r="AH76" s="101">
        <v>40300</v>
      </c>
      <c r="AI76" s="101">
        <v>40300</v>
      </c>
      <c r="AJ76" s="101">
        <v>40300</v>
      </c>
      <c r="AK76" s="101">
        <v>40300</v>
      </c>
      <c r="AL76" s="101">
        <v>40300</v>
      </c>
      <c r="AM76" s="101">
        <v>40300</v>
      </c>
      <c r="AN76" s="101">
        <v>40300</v>
      </c>
      <c r="AO76" s="101">
        <v>40300</v>
      </c>
      <c r="AP76" s="101">
        <v>40300</v>
      </c>
      <c r="AQ76" s="101">
        <v>40300</v>
      </c>
      <c r="AR76" s="101">
        <v>40300</v>
      </c>
      <c r="AS76" s="101">
        <v>40300</v>
      </c>
      <c r="AT76" s="101">
        <v>40300</v>
      </c>
      <c r="AU76" s="101">
        <v>40300</v>
      </c>
    </row>
    <row r="77" spans="1:47">
      <c r="A77" t="str">
        <f>IF('Plant Data'!A77="","",'Plant Data'!A77)</f>
        <v>ANDAasd16</v>
      </c>
      <c r="B77" s="101">
        <v>40300</v>
      </c>
      <c r="C77" s="101">
        <v>40300</v>
      </c>
      <c r="D77" s="101">
        <v>40300</v>
      </c>
      <c r="E77" s="101">
        <v>40300</v>
      </c>
      <c r="F77" s="101">
        <v>40300</v>
      </c>
      <c r="G77" s="101">
        <v>40300</v>
      </c>
      <c r="H77" s="101">
        <v>40300</v>
      </c>
      <c r="I77" s="101">
        <v>40300</v>
      </c>
      <c r="J77" s="101">
        <v>40300</v>
      </c>
      <c r="K77" s="101">
        <v>40300</v>
      </c>
      <c r="L77" s="101">
        <v>40300</v>
      </c>
      <c r="M77" s="101">
        <v>40300</v>
      </c>
      <c r="N77" s="101">
        <v>40300</v>
      </c>
      <c r="O77" s="101">
        <v>40300</v>
      </c>
      <c r="P77" s="101">
        <v>40300</v>
      </c>
      <c r="Q77" s="101">
        <v>40300</v>
      </c>
      <c r="R77" s="101">
        <v>40300</v>
      </c>
      <c r="S77" s="101">
        <v>40300</v>
      </c>
      <c r="T77" s="101">
        <v>40300</v>
      </c>
      <c r="U77" s="101">
        <v>40300</v>
      </c>
      <c r="V77" s="101">
        <v>40300</v>
      </c>
      <c r="W77" s="101">
        <v>40300</v>
      </c>
      <c r="X77" s="101">
        <v>40300</v>
      </c>
      <c r="Y77" s="101">
        <v>40300</v>
      </c>
      <c r="Z77" s="101">
        <v>40300</v>
      </c>
      <c r="AA77" s="101">
        <v>40300</v>
      </c>
      <c r="AB77" s="101">
        <v>40300</v>
      </c>
      <c r="AC77" s="101">
        <v>40300</v>
      </c>
      <c r="AD77" s="101">
        <v>40300</v>
      </c>
      <c r="AE77" s="101">
        <v>40300</v>
      </c>
      <c r="AF77" s="101">
        <v>40300</v>
      </c>
      <c r="AG77" s="101">
        <v>40300</v>
      </c>
      <c r="AH77" s="101">
        <v>40300</v>
      </c>
      <c r="AI77" s="101">
        <v>40300</v>
      </c>
      <c r="AJ77" s="101">
        <v>40300</v>
      </c>
      <c r="AK77" s="101">
        <v>40300</v>
      </c>
      <c r="AL77" s="101">
        <v>40300</v>
      </c>
      <c r="AM77" s="101">
        <v>40300</v>
      </c>
      <c r="AN77" s="101">
        <v>40300</v>
      </c>
      <c r="AO77" s="101">
        <v>40300</v>
      </c>
      <c r="AP77" s="101">
        <v>40300</v>
      </c>
      <c r="AQ77" s="101">
        <v>40300</v>
      </c>
      <c r="AR77" s="101">
        <v>40300</v>
      </c>
      <c r="AS77" s="101">
        <v>40300</v>
      </c>
      <c r="AT77" s="101">
        <v>40300</v>
      </c>
      <c r="AU77" s="101">
        <v>40300</v>
      </c>
    </row>
    <row r="78" spans="1:47">
      <c r="A78" t="str">
        <f>IF('Plant Data'!A78="","",'Plant Data'!A78)</f>
        <v>ANDAasd17</v>
      </c>
      <c r="B78" s="101">
        <v>40300</v>
      </c>
      <c r="C78" s="101">
        <v>40300</v>
      </c>
      <c r="D78" s="101">
        <v>40300</v>
      </c>
      <c r="E78" s="101">
        <v>40300</v>
      </c>
      <c r="F78" s="101">
        <v>40300</v>
      </c>
      <c r="G78" s="101">
        <v>40300</v>
      </c>
      <c r="H78" s="101">
        <v>40300</v>
      </c>
      <c r="I78" s="101">
        <v>40300</v>
      </c>
      <c r="J78" s="101">
        <v>40300</v>
      </c>
      <c r="K78" s="101">
        <v>40300</v>
      </c>
      <c r="L78" s="101">
        <v>40300</v>
      </c>
      <c r="M78" s="101">
        <v>40300</v>
      </c>
      <c r="N78" s="101">
        <v>40300</v>
      </c>
      <c r="O78" s="101">
        <v>40300</v>
      </c>
      <c r="P78" s="101">
        <v>40300</v>
      </c>
      <c r="Q78" s="101">
        <v>40300</v>
      </c>
      <c r="R78" s="101">
        <v>40300</v>
      </c>
      <c r="S78" s="101">
        <v>40300</v>
      </c>
      <c r="T78" s="101">
        <v>40300</v>
      </c>
      <c r="U78" s="101">
        <v>40300</v>
      </c>
      <c r="V78" s="101">
        <v>40300</v>
      </c>
      <c r="W78" s="101">
        <v>40300</v>
      </c>
      <c r="X78" s="101">
        <v>40300</v>
      </c>
      <c r="Y78" s="101">
        <v>40300</v>
      </c>
      <c r="Z78" s="101">
        <v>40300</v>
      </c>
      <c r="AA78" s="101">
        <v>40300</v>
      </c>
      <c r="AB78" s="101">
        <v>40300</v>
      </c>
      <c r="AC78" s="101">
        <v>40300</v>
      </c>
      <c r="AD78" s="101">
        <v>40300</v>
      </c>
      <c r="AE78" s="101">
        <v>40300</v>
      </c>
      <c r="AF78" s="101">
        <v>40300</v>
      </c>
      <c r="AG78" s="101">
        <v>40300</v>
      </c>
      <c r="AH78" s="101">
        <v>40300</v>
      </c>
      <c r="AI78" s="101">
        <v>40300</v>
      </c>
      <c r="AJ78" s="101">
        <v>40300</v>
      </c>
      <c r="AK78" s="101">
        <v>40300</v>
      </c>
      <c r="AL78" s="101">
        <v>40300</v>
      </c>
      <c r="AM78" s="101">
        <v>40300</v>
      </c>
      <c r="AN78" s="101">
        <v>40300</v>
      </c>
      <c r="AO78" s="101">
        <v>40300</v>
      </c>
      <c r="AP78" s="101">
        <v>40300</v>
      </c>
      <c r="AQ78" s="101">
        <v>40300</v>
      </c>
      <c r="AR78" s="101">
        <v>40300</v>
      </c>
      <c r="AS78" s="101">
        <v>40300</v>
      </c>
      <c r="AT78" s="101">
        <v>40300</v>
      </c>
      <c r="AU78" s="101">
        <v>40300</v>
      </c>
    </row>
    <row r="79" spans="1:47">
      <c r="A79" t="str">
        <f>IF('Plant Data'!A79="","",'Plant Data'!A79)</f>
        <v>ANDAasd18</v>
      </c>
      <c r="B79" s="101">
        <v>40300</v>
      </c>
      <c r="C79" s="101">
        <v>40300</v>
      </c>
      <c r="D79" s="101">
        <v>40300</v>
      </c>
      <c r="E79" s="101">
        <v>40300</v>
      </c>
      <c r="F79" s="101">
        <v>40300</v>
      </c>
      <c r="G79" s="101">
        <v>40300</v>
      </c>
      <c r="H79" s="101">
        <v>40300</v>
      </c>
      <c r="I79" s="101">
        <v>40300</v>
      </c>
      <c r="J79" s="101">
        <v>40300</v>
      </c>
      <c r="K79" s="101">
        <v>40300</v>
      </c>
      <c r="L79" s="101">
        <v>40300</v>
      </c>
      <c r="M79" s="101">
        <v>40300</v>
      </c>
      <c r="N79" s="101">
        <v>40300</v>
      </c>
      <c r="O79" s="101">
        <v>40300</v>
      </c>
      <c r="P79" s="101">
        <v>40300</v>
      </c>
      <c r="Q79" s="101">
        <v>40300</v>
      </c>
      <c r="R79" s="101">
        <v>40300</v>
      </c>
      <c r="S79" s="101">
        <v>40300</v>
      </c>
      <c r="T79" s="101">
        <v>40300</v>
      </c>
      <c r="U79" s="101">
        <v>40300</v>
      </c>
      <c r="V79" s="101">
        <v>40300</v>
      </c>
      <c r="W79" s="101">
        <v>40300</v>
      </c>
      <c r="X79" s="101">
        <v>40300</v>
      </c>
      <c r="Y79" s="101">
        <v>40300</v>
      </c>
      <c r="Z79" s="101">
        <v>40300</v>
      </c>
      <c r="AA79" s="101">
        <v>40300</v>
      </c>
      <c r="AB79" s="101">
        <v>40300</v>
      </c>
      <c r="AC79" s="101">
        <v>40300</v>
      </c>
      <c r="AD79" s="101">
        <v>40300</v>
      </c>
      <c r="AE79" s="101">
        <v>40300</v>
      </c>
      <c r="AF79" s="101">
        <v>40300</v>
      </c>
      <c r="AG79" s="101">
        <v>40300</v>
      </c>
      <c r="AH79" s="101">
        <v>40300</v>
      </c>
      <c r="AI79" s="101">
        <v>40300</v>
      </c>
      <c r="AJ79" s="101">
        <v>40300</v>
      </c>
      <c r="AK79" s="101">
        <v>40300</v>
      </c>
      <c r="AL79" s="101">
        <v>40300</v>
      </c>
      <c r="AM79" s="101">
        <v>40300</v>
      </c>
      <c r="AN79" s="101">
        <v>40300</v>
      </c>
      <c r="AO79" s="101">
        <v>40300</v>
      </c>
      <c r="AP79" s="101">
        <v>40300</v>
      </c>
      <c r="AQ79" s="101">
        <v>40300</v>
      </c>
      <c r="AR79" s="101">
        <v>40300</v>
      </c>
      <c r="AS79" s="101">
        <v>40300</v>
      </c>
      <c r="AT79" s="101">
        <v>40300</v>
      </c>
      <c r="AU79" s="101">
        <v>40300</v>
      </c>
    </row>
    <row r="80" spans="1:47">
      <c r="A80" t="str">
        <f>IF('Plant Data'!A80="","",'Plant Data'!A80)</f>
        <v>ANDAasd19</v>
      </c>
      <c r="B80" s="101">
        <v>40300</v>
      </c>
      <c r="C80" s="101">
        <v>40300</v>
      </c>
      <c r="D80" s="101">
        <v>40300</v>
      </c>
      <c r="E80" s="101">
        <v>40300</v>
      </c>
      <c r="F80" s="101">
        <v>40300</v>
      </c>
      <c r="G80" s="101">
        <v>40300</v>
      </c>
      <c r="H80" s="101">
        <v>40300</v>
      </c>
      <c r="I80" s="101">
        <v>40300</v>
      </c>
      <c r="J80" s="101">
        <v>40300</v>
      </c>
      <c r="K80" s="101">
        <v>40300</v>
      </c>
      <c r="L80" s="101">
        <v>40300</v>
      </c>
      <c r="M80" s="101">
        <v>40300</v>
      </c>
      <c r="N80" s="101">
        <v>40300</v>
      </c>
      <c r="O80" s="101">
        <v>40300</v>
      </c>
      <c r="P80" s="101">
        <v>40300</v>
      </c>
      <c r="Q80" s="101">
        <v>40300</v>
      </c>
      <c r="R80" s="101">
        <v>40300</v>
      </c>
      <c r="S80" s="101">
        <v>40300</v>
      </c>
      <c r="T80" s="101">
        <v>40300</v>
      </c>
      <c r="U80" s="101">
        <v>40300</v>
      </c>
      <c r="V80" s="101">
        <v>40300</v>
      </c>
      <c r="W80" s="101">
        <v>40300</v>
      </c>
      <c r="X80" s="101">
        <v>40300</v>
      </c>
      <c r="Y80" s="101">
        <v>40300</v>
      </c>
      <c r="Z80" s="101">
        <v>40300</v>
      </c>
      <c r="AA80" s="101">
        <v>40300</v>
      </c>
      <c r="AB80" s="101">
        <v>40300</v>
      </c>
      <c r="AC80" s="101">
        <v>40300</v>
      </c>
      <c r="AD80" s="101">
        <v>40300</v>
      </c>
      <c r="AE80" s="101">
        <v>40300</v>
      </c>
      <c r="AF80" s="101">
        <v>40300</v>
      </c>
      <c r="AG80" s="101">
        <v>40300</v>
      </c>
      <c r="AH80" s="101">
        <v>40300</v>
      </c>
      <c r="AI80" s="101">
        <v>40300</v>
      </c>
      <c r="AJ80" s="101">
        <v>40300</v>
      </c>
      <c r="AK80" s="101">
        <v>40300</v>
      </c>
      <c r="AL80" s="101">
        <v>40300</v>
      </c>
      <c r="AM80" s="101">
        <v>40300</v>
      </c>
      <c r="AN80" s="101">
        <v>40300</v>
      </c>
      <c r="AO80" s="101">
        <v>40300</v>
      </c>
      <c r="AP80" s="101">
        <v>40300</v>
      </c>
      <c r="AQ80" s="101">
        <v>40300</v>
      </c>
      <c r="AR80" s="101">
        <v>40300</v>
      </c>
      <c r="AS80" s="101">
        <v>40300</v>
      </c>
      <c r="AT80" s="101">
        <v>40300</v>
      </c>
      <c r="AU80" s="101">
        <v>40300</v>
      </c>
    </row>
    <row r="81" spans="1:47">
      <c r="A81" t="str">
        <f>IF('Plant Data'!A81="","",'Plant Data'!A81)</f>
        <v>ANDAasd20</v>
      </c>
      <c r="B81" s="101">
        <v>40300</v>
      </c>
      <c r="C81" s="101">
        <v>40300</v>
      </c>
      <c r="D81" s="101">
        <v>40300</v>
      </c>
      <c r="E81" s="101">
        <v>40300</v>
      </c>
      <c r="F81" s="101">
        <v>40300</v>
      </c>
      <c r="G81" s="101">
        <v>40300</v>
      </c>
      <c r="H81" s="101">
        <v>40300</v>
      </c>
      <c r="I81" s="101">
        <v>40300</v>
      </c>
      <c r="J81" s="101">
        <v>40300</v>
      </c>
      <c r="K81" s="101">
        <v>40300</v>
      </c>
      <c r="L81" s="101">
        <v>40300</v>
      </c>
      <c r="M81" s="101">
        <v>40300</v>
      </c>
      <c r="N81" s="101">
        <v>40300</v>
      </c>
      <c r="O81" s="101">
        <v>40300</v>
      </c>
      <c r="P81" s="101">
        <v>40300</v>
      </c>
      <c r="Q81" s="101">
        <v>40300</v>
      </c>
      <c r="R81" s="101">
        <v>40300</v>
      </c>
      <c r="S81" s="101">
        <v>40300</v>
      </c>
      <c r="T81" s="101">
        <v>40300</v>
      </c>
      <c r="U81" s="101">
        <v>40300</v>
      </c>
      <c r="V81" s="101">
        <v>40300</v>
      </c>
      <c r="W81" s="101">
        <v>40300</v>
      </c>
      <c r="X81" s="101">
        <v>40300</v>
      </c>
      <c r="Y81" s="101">
        <v>40300</v>
      </c>
      <c r="Z81" s="101">
        <v>40300</v>
      </c>
      <c r="AA81" s="101">
        <v>40300</v>
      </c>
      <c r="AB81" s="101">
        <v>40300</v>
      </c>
      <c r="AC81" s="101">
        <v>40300</v>
      </c>
      <c r="AD81" s="101">
        <v>40300</v>
      </c>
      <c r="AE81" s="101">
        <v>40300</v>
      </c>
      <c r="AF81" s="101">
        <v>40300</v>
      </c>
      <c r="AG81" s="101">
        <v>40300</v>
      </c>
      <c r="AH81" s="101">
        <v>40300</v>
      </c>
      <c r="AI81" s="101">
        <v>40300</v>
      </c>
      <c r="AJ81" s="101">
        <v>40300</v>
      </c>
      <c r="AK81" s="101">
        <v>40300</v>
      </c>
      <c r="AL81" s="101">
        <v>40300</v>
      </c>
      <c r="AM81" s="101">
        <v>40300</v>
      </c>
      <c r="AN81" s="101">
        <v>40300</v>
      </c>
      <c r="AO81" s="101">
        <v>40300</v>
      </c>
      <c r="AP81" s="101">
        <v>40300</v>
      </c>
      <c r="AQ81" s="101">
        <v>40300</v>
      </c>
      <c r="AR81" s="101">
        <v>40300</v>
      </c>
      <c r="AS81" s="101">
        <v>40300</v>
      </c>
      <c r="AT81" s="101">
        <v>40300</v>
      </c>
      <c r="AU81" s="101">
        <v>40300</v>
      </c>
    </row>
    <row r="82" spans="1:47">
      <c r="A82" t="str">
        <f>IF('Plant Data'!A82="","",'Plant Data'!A82)</f>
        <v>ANDAasd21</v>
      </c>
      <c r="B82" s="101">
        <v>40300</v>
      </c>
      <c r="C82" s="101">
        <v>40300</v>
      </c>
      <c r="D82" s="101">
        <v>40300</v>
      </c>
      <c r="E82" s="101">
        <v>40300</v>
      </c>
      <c r="F82" s="101">
        <v>40300</v>
      </c>
      <c r="G82" s="101">
        <v>40300</v>
      </c>
      <c r="H82" s="101">
        <v>40300</v>
      </c>
      <c r="I82" s="101">
        <v>40300</v>
      </c>
      <c r="J82" s="101">
        <v>40300</v>
      </c>
      <c r="K82" s="101">
        <v>40300</v>
      </c>
      <c r="L82" s="101">
        <v>40300</v>
      </c>
      <c r="M82" s="101">
        <v>40300</v>
      </c>
      <c r="N82" s="101">
        <v>40300</v>
      </c>
      <c r="O82" s="101">
        <v>40300</v>
      </c>
      <c r="P82" s="101">
        <v>40300</v>
      </c>
      <c r="Q82" s="101">
        <v>40300</v>
      </c>
      <c r="R82" s="101">
        <v>40300</v>
      </c>
      <c r="S82" s="101">
        <v>40300</v>
      </c>
      <c r="T82" s="101">
        <v>40300</v>
      </c>
      <c r="U82" s="101">
        <v>40300</v>
      </c>
      <c r="V82" s="101">
        <v>40300</v>
      </c>
      <c r="W82" s="101">
        <v>40300</v>
      </c>
      <c r="X82" s="101">
        <v>40300</v>
      </c>
      <c r="Y82" s="101">
        <v>40300</v>
      </c>
      <c r="Z82" s="101">
        <v>40300</v>
      </c>
      <c r="AA82" s="101">
        <v>40300</v>
      </c>
      <c r="AB82" s="101">
        <v>40300</v>
      </c>
      <c r="AC82" s="101">
        <v>40300</v>
      </c>
      <c r="AD82" s="101">
        <v>40300</v>
      </c>
      <c r="AE82" s="101">
        <v>40300</v>
      </c>
      <c r="AF82" s="101">
        <v>40300</v>
      </c>
      <c r="AG82" s="101">
        <v>40300</v>
      </c>
      <c r="AH82" s="101">
        <v>40300</v>
      </c>
      <c r="AI82" s="101">
        <v>40300</v>
      </c>
      <c r="AJ82" s="101">
        <v>40300</v>
      </c>
      <c r="AK82" s="101">
        <v>40300</v>
      </c>
      <c r="AL82" s="101">
        <v>40300</v>
      </c>
      <c r="AM82" s="101">
        <v>40300</v>
      </c>
      <c r="AN82" s="101">
        <v>40300</v>
      </c>
      <c r="AO82" s="101">
        <v>40300</v>
      </c>
      <c r="AP82" s="101">
        <v>40300</v>
      </c>
      <c r="AQ82" s="101">
        <v>40300</v>
      </c>
      <c r="AR82" s="101">
        <v>40300</v>
      </c>
      <c r="AS82" s="101">
        <v>40300</v>
      </c>
      <c r="AT82" s="101">
        <v>40300</v>
      </c>
      <c r="AU82" s="101">
        <v>40300</v>
      </c>
    </row>
    <row r="83" spans="1:47">
      <c r="A83" t="str">
        <f>IF('Plant Data'!A83="","",'Plant Data'!A83)</f>
        <v>ANDAasd22</v>
      </c>
      <c r="B83" s="101">
        <v>40300</v>
      </c>
      <c r="C83" s="101">
        <v>40300</v>
      </c>
      <c r="D83" s="101">
        <v>40300</v>
      </c>
      <c r="E83" s="101">
        <v>40300</v>
      </c>
      <c r="F83" s="101">
        <v>40300</v>
      </c>
      <c r="G83" s="101">
        <v>40300</v>
      </c>
      <c r="H83" s="101">
        <v>40300</v>
      </c>
      <c r="I83" s="101">
        <v>40300</v>
      </c>
      <c r="J83" s="101">
        <v>40300</v>
      </c>
      <c r="K83" s="101">
        <v>40300</v>
      </c>
      <c r="L83" s="101">
        <v>40300</v>
      </c>
      <c r="M83" s="101">
        <v>40300</v>
      </c>
      <c r="N83" s="101">
        <v>40300</v>
      </c>
      <c r="O83" s="101">
        <v>40300</v>
      </c>
      <c r="P83" s="101">
        <v>40300</v>
      </c>
      <c r="Q83" s="101">
        <v>40300</v>
      </c>
      <c r="R83" s="101">
        <v>40300</v>
      </c>
      <c r="S83" s="101">
        <v>40300</v>
      </c>
      <c r="T83" s="101">
        <v>40300</v>
      </c>
      <c r="U83" s="101">
        <v>40300</v>
      </c>
      <c r="V83" s="101">
        <v>40300</v>
      </c>
      <c r="W83" s="101">
        <v>40300</v>
      </c>
      <c r="X83" s="101">
        <v>40300</v>
      </c>
      <c r="Y83" s="101">
        <v>40300</v>
      </c>
      <c r="Z83" s="101">
        <v>40300</v>
      </c>
      <c r="AA83" s="101">
        <v>40300</v>
      </c>
      <c r="AB83" s="101">
        <v>40300</v>
      </c>
      <c r="AC83" s="101">
        <v>40300</v>
      </c>
      <c r="AD83" s="101">
        <v>40300</v>
      </c>
      <c r="AE83" s="101">
        <v>40300</v>
      </c>
      <c r="AF83" s="101">
        <v>40300</v>
      </c>
      <c r="AG83" s="101">
        <v>40300</v>
      </c>
      <c r="AH83" s="101">
        <v>40300</v>
      </c>
      <c r="AI83" s="101">
        <v>40300</v>
      </c>
      <c r="AJ83" s="101">
        <v>40300</v>
      </c>
      <c r="AK83" s="101">
        <v>40300</v>
      </c>
      <c r="AL83" s="101">
        <v>40300</v>
      </c>
      <c r="AM83" s="101">
        <v>40300</v>
      </c>
      <c r="AN83" s="101">
        <v>40300</v>
      </c>
      <c r="AO83" s="101">
        <v>40300</v>
      </c>
      <c r="AP83" s="101">
        <v>40300</v>
      </c>
      <c r="AQ83" s="101">
        <v>40300</v>
      </c>
      <c r="AR83" s="101">
        <v>40300</v>
      </c>
      <c r="AS83" s="101">
        <v>40300</v>
      </c>
      <c r="AT83" s="101">
        <v>40300</v>
      </c>
      <c r="AU83" s="101">
        <v>40300</v>
      </c>
    </row>
    <row r="84" spans="1:47">
      <c r="A84" t="str">
        <f>IF('Plant Data'!A84="","",'Plant Data'!A84)</f>
        <v>ANDAasd23</v>
      </c>
      <c r="B84" s="101">
        <v>40300</v>
      </c>
      <c r="C84" s="101">
        <v>40300</v>
      </c>
      <c r="D84" s="101">
        <v>40300</v>
      </c>
      <c r="E84" s="101">
        <v>40300</v>
      </c>
      <c r="F84" s="101">
        <v>40300</v>
      </c>
      <c r="G84" s="101">
        <v>40300</v>
      </c>
      <c r="H84" s="101">
        <v>40300</v>
      </c>
      <c r="I84" s="101">
        <v>40300</v>
      </c>
      <c r="J84" s="101">
        <v>40300</v>
      </c>
      <c r="K84" s="101">
        <v>40300</v>
      </c>
      <c r="L84" s="101">
        <v>40300</v>
      </c>
      <c r="M84" s="101">
        <v>40300</v>
      </c>
      <c r="N84" s="101">
        <v>40300</v>
      </c>
      <c r="O84" s="101">
        <v>40300</v>
      </c>
      <c r="P84" s="101">
        <v>40300</v>
      </c>
      <c r="Q84" s="101">
        <v>40300</v>
      </c>
      <c r="R84" s="101">
        <v>40300</v>
      </c>
      <c r="S84" s="101">
        <v>40300</v>
      </c>
      <c r="T84" s="101">
        <v>40300</v>
      </c>
      <c r="U84" s="101">
        <v>40300</v>
      </c>
      <c r="V84" s="101">
        <v>40300</v>
      </c>
      <c r="W84" s="101">
        <v>40300</v>
      </c>
      <c r="X84" s="101">
        <v>40300</v>
      </c>
      <c r="Y84" s="101">
        <v>40300</v>
      </c>
      <c r="Z84" s="101">
        <v>40300</v>
      </c>
      <c r="AA84" s="101">
        <v>40300</v>
      </c>
      <c r="AB84" s="101">
        <v>40300</v>
      </c>
      <c r="AC84" s="101">
        <v>40300</v>
      </c>
      <c r="AD84" s="101">
        <v>40300</v>
      </c>
      <c r="AE84" s="101">
        <v>40300</v>
      </c>
      <c r="AF84" s="101">
        <v>40300</v>
      </c>
      <c r="AG84" s="101">
        <v>40300</v>
      </c>
      <c r="AH84" s="101">
        <v>40300</v>
      </c>
      <c r="AI84" s="101">
        <v>40300</v>
      </c>
      <c r="AJ84" s="101">
        <v>40300</v>
      </c>
      <c r="AK84" s="101">
        <v>40300</v>
      </c>
      <c r="AL84" s="101">
        <v>40300</v>
      </c>
      <c r="AM84" s="101">
        <v>40300</v>
      </c>
      <c r="AN84" s="101">
        <v>40300</v>
      </c>
      <c r="AO84" s="101">
        <v>40300</v>
      </c>
      <c r="AP84" s="101">
        <v>40300</v>
      </c>
      <c r="AQ84" s="101">
        <v>40300</v>
      </c>
      <c r="AR84" s="101">
        <v>40300</v>
      </c>
      <c r="AS84" s="101">
        <v>40300</v>
      </c>
      <c r="AT84" s="101">
        <v>40300</v>
      </c>
      <c r="AU84" s="101">
        <v>40300</v>
      </c>
    </row>
    <row r="85" spans="1:47">
      <c r="A85" t="str">
        <f>IF('Plant Data'!A85="","",'Plant Data'!A85)</f>
        <v>ANDAasd24</v>
      </c>
      <c r="B85" s="101">
        <v>40300</v>
      </c>
      <c r="C85" s="101">
        <v>40300</v>
      </c>
      <c r="D85" s="101">
        <v>40300</v>
      </c>
      <c r="E85" s="101">
        <v>40300</v>
      </c>
      <c r="F85" s="101">
        <v>40300</v>
      </c>
      <c r="G85" s="101">
        <v>40300</v>
      </c>
      <c r="H85" s="101">
        <v>40300</v>
      </c>
      <c r="I85" s="101">
        <v>40300</v>
      </c>
      <c r="J85" s="101">
        <v>40300</v>
      </c>
      <c r="K85" s="101">
        <v>40300</v>
      </c>
      <c r="L85" s="101">
        <v>40300</v>
      </c>
      <c r="M85" s="101">
        <v>40300</v>
      </c>
      <c r="N85" s="101">
        <v>40300</v>
      </c>
      <c r="O85" s="101">
        <v>40300</v>
      </c>
      <c r="P85" s="101">
        <v>40300</v>
      </c>
      <c r="Q85" s="101">
        <v>40300</v>
      </c>
      <c r="R85" s="101">
        <v>40300</v>
      </c>
      <c r="S85" s="101">
        <v>40300</v>
      </c>
      <c r="T85" s="101">
        <v>40300</v>
      </c>
      <c r="U85" s="101">
        <v>40300</v>
      </c>
      <c r="V85" s="101">
        <v>40300</v>
      </c>
      <c r="W85" s="101">
        <v>40300</v>
      </c>
      <c r="X85" s="101">
        <v>40300</v>
      </c>
      <c r="Y85" s="101">
        <v>40300</v>
      </c>
      <c r="Z85" s="101">
        <v>40300</v>
      </c>
      <c r="AA85" s="101">
        <v>40300</v>
      </c>
      <c r="AB85" s="101">
        <v>40300</v>
      </c>
      <c r="AC85" s="101">
        <v>40300</v>
      </c>
      <c r="AD85" s="101">
        <v>40300</v>
      </c>
      <c r="AE85" s="101">
        <v>40300</v>
      </c>
      <c r="AF85" s="101">
        <v>40300</v>
      </c>
      <c r="AG85" s="101">
        <v>40300</v>
      </c>
      <c r="AH85" s="101">
        <v>40300</v>
      </c>
      <c r="AI85" s="101">
        <v>40300</v>
      </c>
      <c r="AJ85" s="101">
        <v>40300</v>
      </c>
      <c r="AK85" s="101">
        <v>40300</v>
      </c>
      <c r="AL85" s="101">
        <v>40300</v>
      </c>
      <c r="AM85" s="101">
        <v>40300</v>
      </c>
      <c r="AN85" s="101">
        <v>40300</v>
      </c>
      <c r="AO85" s="101">
        <v>40300</v>
      </c>
      <c r="AP85" s="101">
        <v>40300</v>
      </c>
      <c r="AQ85" s="101">
        <v>40300</v>
      </c>
      <c r="AR85" s="101">
        <v>40300</v>
      </c>
      <c r="AS85" s="101">
        <v>40300</v>
      </c>
      <c r="AT85" s="101">
        <v>40300</v>
      </c>
      <c r="AU85" s="101">
        <v>40300</v>
      </c>
    </row>
    <row r="86" spans="1:47">
      <c r="A86" t="str">
        <f>IF('Plant Data'!A86="","",'Plant Data'!A86)</f>
        <v>ANDAasd25</v>
      </c>
      <c r="B86" s="101">
        <v>40300</v>
      </c>
      <c r="C86" s="101">
        <v>40300</v>
      </c>
      <c r="D86" s="101">
        <v>40300</v>
      </c>
      <c r="E86" s="101">
        <v>40300</v>
      </c>
      <c r="F86" s="101">
        <v>40300</v>
      </c>
      <c r="G86" s="101">
        <v>40300</v>
      </c>
      <c r="H86" s="101">
        <v>40300</v>
      </c>
      <c r="I86" s="101">
        <v>40300</v>
      </c>
      <c r="J86" s="101">
        <v>40300</v>
      </c>
      <c r="K86" s="101">
        <v>40300</v>
      </c>
      <c r="L86" s="101">
        <v>40300</v>
      </c>
      <c r="M86" s="101">
        <v>40300</v>
      </c>
      <c r="N86" s="101">
        <v>40300</v>
      </c>
      <c r="O86" s="101">
        <v>40300</v>
      </c>
      <c r="P86" s="101">
        <v>40300</v>
      </c>
      <c r="Q86" s="101">
        <v>40300</v>
      </c>
      <c r="R86" s="101">
        <v>40300</v>
      </c>
      <c r="S86" s="101">
        <v>40300</v>
      </c>
      <c r="T86" s="101">
        <v>40300</v>
      </c>
      <c r="U86" s="101">
        <v>40300</v>
      </c>
      <c r="V86" s="101">
        <v>40300</v>
      </c>
      <c r="W86" s="101">
        <v>40300</v>
      </c>
      <c r="X86" s="101">
        <v>40300</v>
      </c>
      <c r="Y86" s="101">
        <v>40300</v>
      </c>
      <c r="Z86" s="101">
        <v>40300</v>
      </c>
      <c r="AA86" s="101">
        <v>40300</v>
      </c>
      <c r="AB86" s="101">
        <v>40300</v>
      </c>
      <c r="AC86" s="101">
        <v>40300</v>
      </c>
      <c r="AD86" s="101">
        <v>40300</v>
      </c>
      <c r="AE86" s="101">
        <v>40300</v>
      </c>
      <c r="AF86" s="101">
        <v>40300</v>
      </c>
      <c r="AG86" s="101">
        <v>40300</v>
      </c>
      <c r="AH86" s="101">
        <v>40300</v>
      </c>
      <c r="AI86" s="101">
        <v>40300</v>
      </c>
      <c r="AJ86" s="101">
        <v>40300</v>
      </c>
      <c r="AK86" s="101">
        <v>40300</v>
      </c>
      <c r="AL86" s="101">
        <v>40300</v>
      </c>
      <c r="AM86" s="101">
        <v>40300</v>
      </c>
      <c r="AN86" s="101">
        <v>40300</v>
      </c>
      <c r="AO86" s="101">
        <v>40300</v>
      </c>
      <c r="AP86" s="101">
        <v>40300</v>
      </c>
      <c r="AQ86" s="101">
        <v>40300</v>
      </c>
      <c r="AR86" s="101">
        <v>40300</v>
      </c>
      <c r="AS86" s="101">
        <v>40300</v>
      </c>
      <c r="AT86" s="101">
        <v>40300</v>
      </c>
      <c r="AU86" s="101">
        <v>40300</v>
      </c>
    </row>
    <row r="87" spans="1:47">
      <c r="A87" t="str">
        <f>IF('Plant Data'!A87="","",'Plant Data'!A87)</f>
        <v>ANDAasd26</v>
      </c>
      <c r="B87" s="101">
        <v>40300</v>
      </c>
      <c r="C87" s="101">
        <v>40300</v>
      </c>
      <c r="D87" s="101">
        <v>40300</v>
      </c>
      <c r="E87" s="101">
        <v>40300</v>
      </c>
      <c r="F87" s="101">
        <v>40300</v>
      </c>
      <c r="G87" s="101">
        <v>40300</v>
      </c>
      <c r="H87" s="101">
        <v>40300</v>
      </c>
      <c r="I87" s="101">
        <v>40300</v>
      </c>
      <c r="J87" s="101">
        <v>40300</v>
      </c>
      <c r="K87" s="101">
        <v>40300</v>
      </c>
      <c r="L87" s="101">
        <v>40300</v>
      </c>
      <c r="M87" s="101">
        <v>40300</v>
      </c>
      <c r="N87" s="101">
        <v>40300</v>
      </c>
      <c r="O87" s="101">
        <v>40300</v>
      </c>
      <c r="P87" s="101">
        <v>40300</v>
      </c>
      <c r="Q87" s="101">
        <v>40300</v>
      </c>
      <c r="R87" s="101">
        <v>40300</v>
      </c>
      <c r="S87" s="101">
        <v>40300</v>
      </c>
      <c r="T87" s="101">
        <v>40300</v>
      </c>
      <c r="U87" s="101">
        <v>40300</v>
      </c>
      <c r="V87" s="101">
        <v>40300</v>
      </c>
      <c r="W87" s="101">
        <v>40300</v>
      </c>
      <c r="X87" s="101">
        <v>40300</v>
      </c>
      <c r="Y87" s="101">
        <v>40300</v>
      </c>
      <c r="Z87" s="101">
        <v>40300</v>
      </c>
      <c r="AA87" s="101">
        <v>40300</v>
      </c>
      <c r="AB87" s="101">
        <v>40300</v>
      </c>
      <c r="AC87" s="101">
        <v>40300</v>
      </c>
      <c r="AD87" s="101">
        <v>40300</v>
      </c>
      <c r="AE87" s="101">
        <v>40300</v>
      </c>
      <c r="AF87" s="101">
        <v>40300</v>
      </c>
      <c r="AG87" s="101">
        <v>40300</v>
      </c>
      <c r="AH87" s="101">
        <v>40300</v>
      </c>
      <c r="AI87" s="101">
        <v>40300</v>
      </c>
      <c r="AJ87" s="101">
        <v>40300</v>
      </c>
      <c r="AK87" s="101">
        <v>40300</v>
      </c>
      <c r="AL87" s="101">
        <v>40300</v>
      </c>
      <c r="AM87" s="101">
        <v>40300</v>
      </c>
      <c r="AN87" s="101">
        <v>40300</v>
      </c>
      <c r="AO87" s="101">
        <v>40300</v>
      </c>
      <c r="AP87" s="101">
        <v>40300</v>
      </c>
      <c r="AQ87" s="101">
        <v>40300</v>
      </c>
      <c r="AR87" s="101">
        <v>40300</v>
      </c>
      <c r="AS87" s="101">
        <v>40300</v>
      </c>
      <c r="AT87" s="101">
        <v>40300</v>
      </c>
      <c r="AU87" s="101">
        <v>40300</v>
      </c>
    </row>
    <row r="88" spans="1:47">
      <c r="A88" t="str">
        <f>IF('Plant Data'!A88="","",'Plant Data'!A88)</f>
        <v>ANDAasd27</v>
      </c>
      <c r="B88" s="101">
        <v>40300</v>
      </c>
      <c r="C88" s="101">
        <v>40300</v>
      </c>
      <c r="D88" s="101">
        <v>40300</v>
      </c>
      <c r="E88" s="101">
        <v>40300</v>
      </c>
      <c r="F88" s="101">
        <v>40300</v>
      </c>
      <c r="G88" s="101">
        <v>40300</v>
      </c>
      <c r="H88" s="101">
        <v>40300</v>
      </c>
      <c r="I88" s="101">
        <v>40300</v>
      </c>
      <c r="J88" s="101">
        <v>40300</v>
      </c>
      <c r="K88" s="101">
        <v>40300</v>
      </c>
      <c r="L88" s="101">
        <v>40300</v>
      </c>
      <c r="M88" s="101">
        <v>40300</v>
      </c>
      <c r="N88" s="101">
        <v>40300</v>
      </c>
      <c r="O88" s="101">
        <v>40300</v>
      </c>
      <c r="P88" s="101">
        <v>40300</v>
      </c>
      <c r="Q88" s="101">
        <v>40300</v>
      </c>
      <c r="R88" s="101">
        <v>40300</v>
      </c>
      <c r="S88" s="101">
        <v>40300</v>
      </c>
      <c r="T88" s="101">
        <v>40300</v>
      </c>
      <c r="U88" s="101">
        <v>40300</v>
      </c>
      <c r="V88" s="101">
        <v>40300</v>
      </c>
      <c r="W88" s="101">
        <v>40300</v>
      </c>
      <c r="X88" s="101">
        <v>40300</v>
      </c>
      <c r="Y88" s="101">
        <v>40300</v>
      </c>
      <c r="Z88" s="101">
        <v>40300</v>
      </c>
      <c r="AA88" s="101">
        <v>40300</v>
      </c>
      <c r="AB88" s="101">
        <v>40300</v>
      </c>
      <c r="AC88" s="101">
        <v>40300</v>
      </c>
      <c r="AD88" s="101">
        <v>40300</v>
      </c>
      <c r="AE88" s="101">
        <v>40300</v>
      </c>
      <c r="AF88" s="101">
        <v>40300</v>
      </c>
      <c r="AG88" s="101">
        <v>40300</v>
      </c>
      <c r="AH88" s="101">
        <v>40300</v>
      </c>
      <c r="AI88" s="101">
        <v>40300</v>
      </c>
      <c r="AJ88" s="101">
        <v>40300</v>
      </c>
      <c r="AK88" s="101">
        <v>40300</v>
      </c>
      <c r="AL88" s="101">
        <v>40300</v>
      </c>
      <c r="AM88" s="101">
        <v>40300</v>
      </c>
      <c r="AN88" s="101">
        <v>40300</v>
      </c>
      <c r="AO88" s="101">
        <v>40300</v>
      </c>
      <c r="AP88" s="101">
        <v>40300</v>
      </c>
      <c r="AQ88" s="101">
        <v>40300</v>
      </c>
      <c r="AR88" s="101">
        <v>40300</v>
      </c>
      <c r="AS88" s="101">
        <v>40300</v>
      </c>
      <c r="AT88" s="101">
        <v>40300</v>
      </c>
      <c r="AU88" s="101">
        <v>40300</v>
      </c>
    </row>
    <row r="89" spans="1:47">
      <c r="A89" t="str">
        <f>IF('Plant Data'!A89="","",'Plant Data'!A89)</f>
        <v>ANDAasd28</v>
      </c>
      <c r="B89" s="101">
        <v>40300</v>
      </c>
      <c r="C89" s="101">
        <v>40300</v>
      </c>
      <c r="D89" s="101">
        <v>40300</v>
      </c>
      <c r="E89" s="101">
        <v>40300</v>
      </c>
      <c r="F89" s="101">
        <v>40300</v>
      </c>
      <c r="G89" s="101">
        <v>40300</v>
      </c>
      <c r="H89" s="101">
        <v>40300</v>
      </c>
      <c r="I89" s="101">
        <v>40300</v>
      </c>
      <c r="J89" s="101">
        <v>40300</v>
      </c>
      <c r="K89" s="101">
        <v>40300</v>
      </c>
      <c r="L89" s="101">
        <v>40300</v>
      </c>
      <c r="M89" s="101">
        <v>40300</v>
      </c>
      <c r="N89" s="101">
        <v>40300</v>
      </c>
      <c r="O89" s="101">
        <v>40300</v>
      </c>
      <c r="P89" s="101">
        <v>40300</v>
      </c>
      <c r="Q89" s="101">
        <v>40300</v>
      </c>
      <c r="R89" s="101">
        <v>40300</v>
      </c>
      <c r="S89" s="101">
        <v>40300</v>
      </c>
      <c r="T89" s="101">
        <v>40300</v>
      </c>
      <c r="U89" s="101">
        <v>40300</v>
      </c>
      <c r="V89" s="101">
        <v>40300</v>
      </c>
      <c r="W89" s="101">
        <v>40300</v>
      </c>
      <c r="X89" s="101">
        <v>40300</v>
      </c>
      <c r="Y89" s="101">
        <v>40300</v>
      </c>
      <c r="Z89" s="101">
        <v>40300</v>
      </c>
      <c r="AA89" s="101">
        <v>40300</v>
      </c>
      <c r="AB89" s="101">
        <v>40300</v>
      </c>
      <c r="AC89" s="101">
        <v>40300</v>
      </c>
      <c r="AD89" s="101">
        <v>40300</v>
      </c>
      <c r="AE89" s="101">
        <v>40300</v>
      </c>
      <c r="AF89" s="101">
        <v>40300</v>
      </c>
      <c r="AG89" s="101">
        <v>40300</v>
      </c>
      <c r="AH89" s="101">
        <v>40300</v>
      </c>
      <c r="AI89" s="101">
        <v>40300</v>
      </c>
      <c r="AJ89" s="101">
        <v>40300</v>
      </c>
      <c r="AK89" s="101">
        <v>40300</v>
      </c>
      <c r="AL89" s="101">
        <v>40300</v>
      </c>
      <c r="AM89" s="101">
        <v>40300</v>
      </c>
      <c r="AN89" s="101">
        <v>40300</v>
      </c>
      <c r="AO89" s="101">
        <v>40300</v>
      </c>
      <c r="AP89" s="101">
        <v>40300</v>
      </c>
      <c r="AQ89" s="101">
        <v>40300</v>
      </c>
      <c r="AR89" s="101">
        <v>40300</v>
      </c>
      <c r="AS89" s="101">
        <v>40300</v>
      </c>
      <c r="AT89" s="101">
        <v>40300</v>
      </c>
      <c r="AU89" s="101">
        <v>40300</v>
      </c>
    </row>
    <row r="90" spans="1:47">
      <c r="A90" t="str">
        <f>IF('Plant Data'!A90="","",'Plant Data'!A90)</f>
        <v>ANDAasd29</v>
      </c>
      <c r="B90" s="101">
        <v>40300</v>
      </c>
      <c r="C90" s="101">
        <v>40300</v>
      </c>
      <c r="D90" s="101">
        <v>40300</v>
      </c>
      <c r="E90" s="101">
        <v>40300</v>
      </c>
      <c r="F90" s="101">
        <v>40300</v>
      </c>
      <c r="G90" s="101">
        <v>40300</v>
      </c>
      <c r="H90" s="101">
        <v>40300</v>
      </c>
      <c r="I90" s="101">
        <v>40300</v>
      </c>
      <c r="J90" s="101">
        <v>40300</v>
      </c>
      <c r="K90" s="101">
        <v>40300</v>
      </c>
      <c r="L90" s="101">
        <v>40300</v>
      </c>
      <c r="M90" s="101">
        <v>40300</v>
      </c>
      <c r="N90" s="101">
        <v>40300</v>
      </c>
      <c r="O90" s="101">
        <v>40300</v>
      </c>
      <c r="P90" s="101">
        <v>40300</v>
      </c>
      <c r="Q90" s="101">
        <v>40300</v>
      </c>
      <c r="R90" s="101">
        <v>40300</v>
      </c>
      <c r="S90" s="101">
        <v>40300</v>
      </c>
      <c r="T90" s="101">
        <v>40300</v>
      </c>
      <c r="U90" s="101">
        <v>40300</v>
      </c>
      <c r="V90" s="101">
        <v>40300</v>
      </c>
      <c r="W90" s="101">
        <v>40300</v>
      </c>
      <c r="X90" s="101">
        <v>40300</v>
      </c>
      <c r="Y90" s="101">
        <v>40300</v>
      </c>
      <c r="Z90" s="101">
        <v>40300</v>
      </c>
      <c r="AA90" s="101">
        <v>40300</v>
      </c>
      <c r="AB90" s="101">
        <v>40300</v>
      </c>
      <c r="AC90" s="101">
        <v>40300</v>
      </c>
      <c r="AD90" s="101">
        <v>40300</v>
      </c>
      <c r="AE90" s="101">
        <v>40300</v>
      </c>
      <c r="AF90" s="101">
        <v>40300</v>
      </c>
      <c r="AG90" s="101">
        <v>40300</v>
      </c>
      <c r="AH90" s="101">
        <v>40300</v>
      </c>
      <c r="AI90" s="101">
        <v>40300</v>
      </c>
      <c r="AJ90" s="101">
        <v>40300</v>
      </c>
      <c r="AK90" s="101">
        <v>40300</v>
      </c>
      <c r="AL90" s="101">
        <v>40300</v>
      </c>
      <c r="AM90" s="101">
        <v>40300</v>
      </c>
      <c r="AN90" s="101">
        <v>40300</v>
      </c>
      <c r="AO90" s="101">
        <v>40300</v>
      </c>
      <c r="AP90" s="101">
        <v>40300</v>
      </c>
      <c r="AQ90" s="101">
        <v>40300</v>
      </c>
      <c r="AR90" s="101">
        <v>40300</v>
      </c>
      <c r="AS90" s="101">
        <v>40300</v>
      </c>
      <c r="AT90" s="101">
        <v>40300</v>
      </c>
      <c r="AU90" s="101">
        <v>40300</v>
      </c>
    </row>
    <row r="91" spans="1:47">
      <c r="A91" t="str">
        <f>IF('Plant Data'!A91="","",'Plant Data'!A91)</f>
        <v>ANDAasd30</v>
      </c>
      <c r="B91" s="101">
        <v>40300</v>
      </c>
      <c r="C91" s="101">
        <v>40300</v>
      </c>
      <c r="D91" s="101">
        <v>40300</v>
      </c>
      <c r="E91" s="101">
        <v>40300</v>
      </c>
      <c r="F91" s="101">
        <v>40300</v>
      </c>
      <c r="G91" s="101">
        <v>40300</v>
      </c>
      <c r="H91" s="101">
        <v>40300</v>
      </c>
      <c r="I91" s="101">
        <v>40300</v>
      </c>
      <c r="J91" s="101">
        <v>40300</v>
      </c>
      <c r="K91" s="101">
        <v>40300</v>
      </c>
      <c r="L91" s="101">
        <v>40300</v>
      </c>
      <c r="M91" s="101">
        <v>40300</v>
      </c>
      <c r="N91" s="101">
        <v>40300</v>
      </c>
      <c r="O91" s="101">
        <v>40300</v>
      </c>
      <c r="P91" s="101">
        <v>40300</v>
      </c>
      <c r="Q91" s="101">
        <v>40300</v>
      </c>
      <c r="R91" s="101">
        <v>40300</v>
      </c>
      <c r="S91" s="101">
        <v>40300</v>
      </c>
      <c r="T91" s="101">
        <v>40300</v>
      </c>
      <c r="U91" s="101">
        <v>40300</v>
      </c>
      <c r="V91" s="101">
        <v>40300</v>
      </c>
      <c r="W91" s="101">
        <v>40300</v>
      </c>
      <c r="X91" s="101">
        <v>40300</v>
      </c>
      <c r="Y91" s="101">
        <v>40300</v>
      </c>
      <c r="Z91" s="101">
        <v>40300</v>
      </c>
      <c r="AA91" s="101">
        <v>40300</v>
      </c>
      <c r="AB91" s="101">
        <v>40300</v>
      </c>
      <c r="AC91" s="101">
        <v>40300</v>
      </c>
      <c r="AD91" s="101">
        <v>40300</v>
      </c>
      <c r="AE91" s="101">
        <v>40300</v>
      </c>
      <c r="AF91" s="101">
        <v>40300</v>
      </c>
      <c r="AG91" s="101">
        <v>40300</v>
      </c>
      <c r="AH91" s="101">
        <v>40300</v>
      </c>
      <c r="AI91" s="101">
        <v>40300</v>
      </c>
      <c r="AJ91" s="101">
        <v>40300</v>
      </c>
      <c r="AK91" s="101">
        <v>40300</v>
      </c>
      <c r="AL91" s="101">
        <v>40300</v>
      </c>
      <c r="AM91" s="101">
        <v>40300</v>
      </c>
      <c r="AN91" s="101">
        <v>40300</v>
      </c>
      <c r="AO91" s="101">
        <v>40300</v>
      </c>
      <c r="AP91" s="101">
        <v>40300</v>
      </c>
      <c r="AQ91" s="101">
        <v>40300</v>
      </c>
      <c r="AR91" s="101">
        <v>40300</v>
      </c>
      <c r="AS91" s="101">
        <v>40300</v>
      </c>
      <c r="AT91" s="101">
        <v>40300</v>
      </c>
      <c r="AU91" s="101">
        <v>40300</v>
      </c>
    </row>
    <row r="92" spans="1:47">
      <c r="A92" t="str">
        <f>IF('Plant Data'!A92="","",'Plant Data'!A92)</f>
        <v>ANDAasd31</v>
      </c>
      <c r="B92" s="101">
        <v>40300</v>
      </c>
      <c r="C92" s="101">
        <v>40300</v>
      </c>
      <c r="D92" s="101">
        <v>40300</v>
      </c>
      <c r="E92" s="101">
        <v>40300</v>
      </c>
      <c r="F92" s="101">
        <v>40300</v>
      </c>
      <c r="G92" s="101">
        <v>40300</v>
      </c>
      <c r="H92" s="101">
        <v>40300</v>
      </c>
      <c r="I92" s="101">
        <v>40300</v>
      </c>
      <c r="J92" s="101">
        <v>40300</v>
      </c>
      <c r="K92" s="101">
        <v>40300</v>
      </c>
      <c r="L92" s="101">
        <v>40300</v>
      </c>
      <c r="M92" s="101">
        <v>40300</v>
      </c>
      <c r="N92" s="101">
        <v>40300</v>
      </c>
      <c r="O92" s="101">
        <v>40300</v>
      </c>
      <c r="P92" s="101">
        <v>40300</v>
      </c>
      <c r="Q92" s="101">
        <v>40300</v>
      </c>
      <c r="R92" s="101">
        <v>40300</v>
      </c>
      <c r="S92" s="101">
        <v>40300</v>
      </c>
      <c r="T92" s="101">
        <v>40300</v>
      </c>
      <c r="U92" s="101">
        <v>40300</v>
      </c>
      <c r="V92" s="101">
        <v>40300</v>
      </c>
      <c r="W92" s="101">
        <v>40300</v>
      </c>
      <c r="X92" s="101">
        <v>40300</v>
      </c>
      <c r="Y92" s="101">
        <v>40300</v>
      </c>
      <c r="Z92" s="101">
        <v>40300</v>
      </c>
      <c r="AA92" s="101">
        <v>40300</v>
      </c>
      <c r="AB92" s="101">
        <v>40300</v>
      </c>
      <c r="AC92" s="101">
        <v>40300</v>
      </c>
      <c r="AD92" s="101">
        <v>40300</v>
      </c>
      <c r="AE92" s="101">
        <v>40300</v>
      </c>
      <c r="AF92" s="101">
        <v>40300</v>
      </c>
      <c r="AG92" s="101">
        <v>40300</v>
      </c>
      <c r="AH92" s="101">
        <v>40300</v>
      </c>
      <c r="AI92" s="101">
        <v>40300</v>
      </c>
      <c r="AJ92" s="101">
        <v>40300</v>
      </c>
      <c r="AK92" s="101">
        <v>40300</v>
      </c>
      <c r="AL92" s="101">
        <v>40300</v>
      </c>
      <c r="AM92" s="101">
        <v>40300</v>
      </c>
      <c r="AN92" s="101">
        <v>40300</v>
      </c>
      <c r="AO92" s="101">
        <v>40300</v>
      </c>
      <c r="AP92" s="101">
        <v>40300</v>
      </c>
      <c r="AQ92" s="101">
        <v>40300</v>
      </c>
      <c r="AR92" s="101">
        <v>40300</v>
      </c>
      <c r="AS92" s="101">
        <v>40300</v>
      </c>
      <c r="AT92" s="101">
        <v>40300</v>
      </c>
      <c r="AU92" s="101">
        <v>40300</v>
      </c>
    </row>
    <row r="93" spans="1:47">
      <c r="A93" t="str">
        <f>IF('Plant Data'!A93="","",'Plant Data'!A93)</f>
        <v>ANDAasd32</v>
      </c>
      <c r="B93" s="101">
        <v>40300</v>
      </c>
      <c r="C93" s="101">
        <v>40300</v>
      </c>
      <c r="D93" s="101">
        <v>40300</v>
      </c>
      <c r="E93" s="101">
        <v>40300</v>
      </c>
      <c r="F93" s="101">
        <v>40300</v>
      </c>
      <c r="G93" s="101">
        <v>40300</v>
      </c>
      <c r="H93" s="101">
        <v>40300</v>
      </c>
      <c r="I93" s="101">
        <v>40300</v>
      </c>
      <c r="J93" s="101">
        <v>40300</v>
      </c>
      <c r="K93" s="101">
        <v>40300</v>
      </c>
      <c r="L93" s="101">
        <v>40300</v>
      </c>
      <c r="M93" s="101">
        <v>40300</v>
      </c>
      <c r="N93" s="101">
        <v>40300</v>
      </c>
      <c r="O93" s="101">
        <v>40300</v>
      </c>
      <c r="P93" s="101">
        <v>40300</v>
      </c>
      <c r="Q93" s="101">
        <v>40300</v>
      </c>
      <c r="R93" s="101">
        <v>40300</v>
      </c>
      <c r="S93" s="101">
        <v>40300</v>
      </c>
      <c r="T93" s="101">
        <v>40300</v>
      </c>
      <c r="U93" s="101">
        <v>40300</v>
      </c>
      <c r="V93" s="101">
        <v>40300</v>
      </c>
      <c r="W93" s="101">
        <v>40300</v>
      </c>
      <c r="X93" s="101">
        <v>40300</v>
      </c>
      <c r="Y93" s="101">
        <v>40300</v>
      </c>
      <c r="Z93" s="101">
        <v>40300</v>
      </c>
      <c r="AA93" s="101">
        <v>40300</v>
      </c>
      <c r="AB93" s="101">
        <v>40300</v>
      </c>
      <c r="AC93" s="101">
        <v>40300</v>
      </c>
      <c r="AD93" s="101">
        <v>40300</v>
      </c>
      <c r="AE93" s="101">
        <v>40300</v>
      </c>
      <c r="AF93" s="101">
        <v>40300</v>
      </c>
      <c r="AG93" s="101">
        <v>40300</v>
      </c>
      <c r="AH93" s="101">
        <v>40300</v>
      </c>
      <c r="AI93" s="101">
        <v>40300</v>
      </c>
      <c r="AJ93" s="101">
        <v>40300</v>
      </c>
      <c r="AK93" s="101">
        <v>40300</v>
      </c>
      <c r="AL93" s="101">
        <v>40300</v>
      </c>
      <c r="AM93" s="101">
        <v>40300</v>
      </c>
      <c r="AN93" s="101">
        <v>40300</v>
      </c>
      <c r="AO93" s="101">
        <v>40300</v>
      </c>
      <c r="AP93" s="101">
        <v>40300</v>
      </c>
      <c r="AQ93" s="101">
        <v>40300</v>
      </c>
      <c r="AR93" s="101">
        <v>40300</v>
      </c>
      <c r="AS93" s="101">
        <v>40300</v>
      </c>
      <c r="AT93" s="101">
        <v>40300</v>
      </c>
      <c r="AU93" s="101">
        <v>40300</v>
      </c>
    </row>
    <row r="94" spans="1:47">
      <c r="A94" t="str">
        <f>IF('Plant Data'!A94="","",'Plant Data'!A94)</f>
        <v>ANDAasd33</v>
      </c>
      <c r="B94" s="101">
        <v>40300</v>
      </c>
      <c r="C94" s="101">
        <v>40300</v>
      </c>
      <c r="D94" s="101">
        <v>40300</v>
      </c>
      <c r="E94" s="101">
        <v>40300</v>
      </c>
      <c r="F94" s="101">
        <v>40300</v>
      </c>
      <c r="G94" s="101">
        <v>40300</v>
      </c>
      <c r="H94" s="101">
        <v>40300</v>
      </c>
      <c r="I94" s="101">
        <v>40300</v>
      </c>
      <c r="J94" s="101">
        <v>40300</v>
      </c>
      <c r="K94" s="101">
        <v>40300</v>
      </c>
      <c r="L94" s="101">
        <v>40300</v>
      </c>
      <c r="M94" s="101">
        <v>40300</v>
      </c>
      <c r="N94" s="101">
        <v>40300</v>
      </c>
      <c r="O94" s="101">
        <v>40300</v>
      </c>
      <c r="P94" s="101">
        <v>40300</v>
      </c>
      <c r="Q94" s="101">
        <v>40300</v>
      </c>
      <c r="R94" s="101">
        <v>40300</v>
      </c>
      <c r="S94" s="101">
        <v>40300</v>
      </c>
      <c r="T94" s="101">
        <v>40300</v>
      </c>
      <c r="U94" s="101">
        <v>40300</v>
      </c>
      <c r="V94" s="101">
        <v>40300</v>
      </c>
      <c r="W94" s="101">
        <v>40300</v>
      </c>
      <c r="X94" s="101">
        <v>40300</v>
      </c>
      <c r="Y94" s="101">
        <v>40300</v>
      </c>
      <c r="Z94" s="101">
        <v>40300</v>
      </c>
      <c r="AA94" s="101">
        <v>40300</v>
      </c>
      <c r="AB94" s="101">
        <v>40300</v>
      </c>
      <c r="AC94" s="101">
        <v>40300</v>
      </c>
      <c r="AD94" s="101">
        <v>40300</v>
      </c>
      <c r="AE94" s="101">
        <v>40300</v>
      </c>
      <c r="AF94" s="101">
        <v>40300</v>
      </c>
      <c r="AG94" s="101">
        <v>40300</v>
      </c>
      <c r="AH94" s="101">
        <v>40300</v>
      </c>
      <c r="AI94" s="101">
        <v>40300</v>
      </c>
      <c r="AJ94" s="101">
        <v>40300</v>
      </c>
      <c r="AK94" s="101">
        <v>40300</v>
      </c>
      <c r="AL94" s="101">
        <v>40300</v>
      </c>
      <c r="AM94" s="101">
        <v>40300</v>
      </c>
      <c r="AN94" s="101">
        <v>40300</v>
      </c>
      <c r="AO94" s="101">
        <v>40300</v>
      </c>
      <c r="AP94" s="101">
        <v>40300</v>
      </c>
      <c r="AQ94" s="101">
        <v>40300</v>
      </c>
      <c r="AR94" s="101">
        <v>40300</v>
      </c>
      <c r="AS94" s="101">
        <v>40300</v>
      </c>
      <c r="AT94" s="101">
        <v>40300</v>
      </c>
      <c r="AU94" s="101">
        <v>40300</v>
      </c>
    </row>
    <row r="95" spans="1:47">
      <c r="A95" t="str">
        <f>IF('Plant Data'!A95="","",'Plant Data'!A95)</f>
        <v>ANDAasd34</v>
      </c>
      <c r="B95" s="101">
        <v>40300</v>
      </c>
      <c r="C95" s="101">
        <v>40300</v>
      </c>
      <c r="D95" s="101">
        <v>40300</v>
      </c>
      <c r="E95" s="101">
        <v>40300</v>
      </c>
      <c r="F95" s="101">
        <v>40300</v>
      </c>
      <c r="G95" s="101">
        <v>40300</v>
      </c>
      <c r="H95" s="101">
        <v>40300</v>
      </c>
      <c r="I95" s="101">
        <v>40300</v>
      </c>
      <c r="J95" s="101">
        <v>40300</v>
      </c>
      <c r="K95" s="101">
        <v>40300</v>
      </c>
      <c r="L95" s="101">
        <v>40300</v>
      </c>
      <c r="M95" s="101">
        <v>40300</v>
      </c>
      <c r="N95" s="101">
        <v>40300</v>
      </c>
      <c r="O95" s="101">
        <v>40300</v>
      </c>
      <c r="P95" s="101">
        <v>40300</v>
      </c>
      <c r="Q95" s="101">
        <v>40300</v>
      </c>
      <c r="R95" s="101">
        <v>40300</v>
      </c>
      <c r="S95" s="101">
        <v>40300</v>
      </c>
      <c r="T95" s="101">
        <v>40300</v>
      </c>
      <c r="U95" s="101">
        <v>40300</v>
      </c>
      <c r="V95" s="101">
        <v>40300</v>
      </c>
      <c r="W95" s="101">
        <v>40300</v>
      </c>
      <c r="X95" s="101">
        <v>40300</v>
      </c>
      <c r="Y95" s="101">
        <v>40300</v>
      </c>
      <c r="Z95" s="101">
        <v>40300</v>
      </c>
      <c r="AA95" s="101">
        <v>40300</v>
      </c>
      <c r="AB95" s="101">
        <v>40300</v>
      </c>
      <c r="AC95" s="101">
        <v>40300</v>
      </c>
      <c r="AD95" s="101">
        <v>40300</v>
      </c>
      <c r="AE95" s="101">
        <v>40300</v>
      </c>
      <c r="AF95" s="101">
        <v>40300</v>
      </c>
      <c r="AG95" s="101">
        <v>40300</v>
      </c>
      <c r="AH95" s="101">
        <v>40300</v>
      </c>
      <c r="AI95" s="101">
        <v>40300</v>
      </c>
      <c r="AJ95" s="101">
        <v>40300</v>
      </c>
      <c r="AK95" s="101">
        <v>40300</v>
      </c>
      <c r="AL95" s="101">
        <v>40300</v>
      </c>
      <c r="AM95" s="101">
        <v>40300</v>
      </c>
      <c r="AN95" s="101">
        <v>40300</v>
      </c>
      <c r="AO95" s="101">
        <v>40300</v>
      </c>
      <c r="AP95" s="101">
        <v>40300</v>
      </c>
      <c r="AQ95" s="101">
        <v>40300</v>
      </c>
      <c r="AR95" s="101">
        <v>40300</v>
      </c>
      <c r="AS95" s="101">
        <v>40300</v>
      </c>
      <c r="AT95" s="101">
        <v>40300</v>
      </c>
      <c r="AU95" s="101">
        <v>40300</v>
      </c>
    </row>
    <row r="96" spans="1:47">
      <c r="A96" t="str">
        <f>IF('Plant Data'!A96="","",'Plant Data'!A96)</f>
        <v>ANDAasd35</v>
      </c>
      <c r="B96" s="101">
        <v>40300</v>
      </c>
      <c r="C96" s="101">
        <v>40300</v>
      </c>
      <c r="D96" s="101">
        <v>40300</v>
      </c>
      <c r="E96" s="101">
        <v>40300</v>
      </c>
      <c r="F96" s="101">
        <v>40300</v>
      </c>
      <c r="G96" s="101">
        <v>40300</v>
      </c>
      <c r="H96" s="101">
        <v>40300</v>
      </c>
      <c r="I96" s="101">
        <v>40300</v>
      </c>
      <c r="J96" s="101">
        <v>40300</v>
      </c>
      <c r="K96" s="101">
        <v>40300</v>
      </c>
      <c r="L96" s="101">
        <v>40300</v>
      </c>
      <c r="M96" s="101">
        <v>40300</v>
      </c>
      <c r="N96" s="101">
        <v>40300</v>
      </c>
      <c r="O96" s="101">
        <v>40300</v>
      </c>
      <c r="P96" s="101">
        <v>40300</v>
      </c>
      <c r="Q96" s="101">
        <v>40300</v>
      </c>
      <c r="R96" s="101">
        <v>40300</v>
      </c>
      <c r="S96" s="101">
        <v>40300</v>
      </c>
      <c r="T96" s="101">
        <v>40300</v>
      </c>
      <c r="U96" s="101">
        <v>40300</v>
      </c>
      <c r="V96" s="101">
        <v>40300</v>
      </c>
      <c r="W96" s="101">
        <v>40300</v>
      </c>
      <c r="X96" s="101">
        <v>40300</v>
      </c>
      <c r="Y96" s="101">
        <v>40300</v>
      </c>
      <c r="Z96" s="101">
        <v>40300</v>
      </c>
      <c r="AA96" s="101">
        <v>40300</v>
      </c>
      <c r="AB96" s="101">
        <v>40300</v>
      </c>
      <c r="AC96" s="101">
        <v>40300</v>
      </c>
      <c r="AD96" s="101">
        <v>40300</v>
      </c>
      <c r="AE96" s="101">
        <v>40300</v>
      </c>
      <c r="AF96" s="101">
        <v>40300</v>
      </c>
      <c r="AG96" s="101">
        <v>40300</v>
      </c>
      <c r="AH96" s="101">
        <v>40300</v>
      </c>
      <c r="AI96" s="101">
        <v>40300</v>
      </c>
      <c r="AJ96" s="101">
        <v>40300</v>
      </c>
      <c r="AK96" s="101">
        <v>40300</v>
      </c>
      <c r="AL96" s="101">
        <v>40300</v>
      </c>
      <c r="AM96" s="101">
        <v>40300</v>
      </c>
      <c r="AN96" s="101">
        <v>40300</v>
      </c>
      <c r="AO96" s="101">
        <v>40300</v>
      </c>
      <c r="AP96" s="101">
        <v>40300</v>
      </c>
      <c r="AQ96" s="101">
        <v>40300</v>
      </c>
      <c r="AR96" s="101">
        <v>40300</v>
      </c>
      <c r="AS96" s="101">
        <v>40300</v>
      </c>
      <c r="AT96" s="101">
        <v>40300</v>
      </c>
      <c r="AU96" s="101">
        <v>40300</v>
      </c>
    </row>
    <row r="97" spans="1:47">
      <c r="A97" t="str">
        <f>IF('Plant Data'!A97="","",'Plant Data'!A97)</f>
        <v>ANDAasd36</v>
      </c>
      <c r="B97" s="101">
        <v>40300</v>
      </c>
      <c r="C97" s="101">
        <v>40300</v>
      </c>
      <c r="D97" s="101">
        <v>40300</v>
      </c>
      <c r="E97" s="101">
        <v>40300</v>
      </c>
      <c r="F97" s="101">
        <v>40300</v>
      </c>
      <c r="G97" s="101">
        <v>40300</v>
      </c>
      <c r="H97" s="101">
        <v>40300</v>
      </c>
      <c r="I97" s="101">
        <v>40300</v>
      </c>
      <c r="J97" s="101">
        <v>40300</v>
      </c>
      <c r="K97" s="101">
        <v>40300</v>
      </c>
      <c r="L97" s="101">
        <v>40300</v>
      </c>
      <c r="M97" s="101">
        <v>40300</v>
      </c>
      <c r="N97" s="101">
        <v>40300</v>
      </c>
      <c r="O97" s="101">
        <v>40300</v>
      </c>
      <c r="P97" s="101">
        <v>40300</v>
      </c>
      <c r="Q97" s="101">
        <v>40300</v>
      </c>
      <c r="R97" s="101">
        <v>40300</v>
      </c>
      <c r="S97" s="101">
        <v>40300</v>
      </c>
      <c r="T97" s="101">
        <v>40300</v>
      </c>
      <c r="U97" s="101">
        <v>40300</v>
      </c>
      <c r="V97" s="101">
        <v>40300</v>
      </c>
      <c r="W97" s="101">
        <v>40300</v>
      </c>
      <c r="X97" s="101">
        <v>40300</v>
      </c>
      <c r="Y97" s="101">
        <v>40300</v>
      </c>
      <c r="Z97" s="101">
        <v>40300</v>
      </c>
      <c r="AA97" s="101">
        <v>40300</v>
      </c>
      <c r="AB97" s="101">
        <v>40300</v>
      </c>
      <c r="AC97" s="101">
        <v>40300</v>
      </c>
      <c r="AD97" s="101">
        <v>40300</v>
      </c>
      <c r="AE97" s="101">
        <v>40300</v>
      </c>
      <c r="AF97" s="101">
        <v>40300</v>
      </c>
      <c r="AG97" s="101">
        <v>40300</v>
      </c>
      <c r="AH97" s="101">
        <v>40300</v>
      </c>
      <c r="AI97" s="101">
        <v>40300</v>
      </c>
      <c r="AJ97" s="101">
        <v>40300</v>
      </c>
      <c r="AK97" s="101">
        <v>40300</v>
      </c>
      <c r="AL97" s="101">
        <v>40300</v>
      </c>
      <c r="AM97" s="101">
        <v>40300</v>
      </c>
      <c r="AN97" s="101">
        <v>40300</v>
      </c>
      <c r="AO97" s="101">
        <v>40300</v>
      </c>
      <c r="AP97" s="101">
        <v>40300</v>
      </c>
      <c r="AQ97" s="101">
        <v>40300</v>
      </c>
      <c r="AR97" s="101">
        <v>40300</v>
      </c>
      <c r="AS97" s="101">
        <v>40300</v>
      </c>
      <c r="AT97" s="101">
        <v>40300</v>
      </c>
      <c r="AU97" s="101">
        <v>40300</v>
      </c>
    </row>
    <row r="98" spans="1:47">
      <c r="A98" t="str">
        <f>IF('Plant Data'!A98="","",'Plant Data'!A98)</f>
        <v>ANDAasd37</v>
      </c>
      <c r="B98" s="101">
        <v>40300</v>
      </c>
      <c r="C98" s="101">
        <v>40300</v>
      </c>
      <c r="D98" s="101">
        <v>40300</v>
      </c>
      <c r="E98" s="101">
        <v>40300</v>
      </c>
      <c r="F98" s="101">
        <v>40300</v>
      </c>
      <c r="G98" s="101">
        <v>40300</v>
      </c>
      <c r="H98" s="101">
        <v>40300</v>
      </c>
      <c r="I98" s="101">
        <v>40300</v>
      </c>
      <c r="J98" s="101">
        <v>40300</v>
      </c>
      <c r="K98" s="101">
        <v>40300</v>
      </c>
      <c r="L98" s="101">
        <v>40300</v>
      </c>
      <c r="M98" s="101">
        <v>40300</v>
      </c>
      <c r="N98" s="101">
        <v>40300</v>
      </c>
      <c r="O98" s="101">
        <v>40300</v>
      </c>
      <c r="P98" s="101">
        <v>40300</v>
      </c>
      <c r="Q98" s="101">
        <v>40300</v>
      </c>
      <c r="R98" s="101">
        <v>40300</v>
      </c>
      <c r="S98" s="101">
        <v>40300</v>
      </c>
      <c r="T98" s="101">
        <v>40300</v>
      </c>
      <c r="U98" s="101">
        <v>40300</v>
      </c>
      <c r="V98" s="101">
        <v>40300</v>
      </c>
      <c r="W98" s="101">
        <v>40300</v>
      </c>
      <c r="X98" s="101">
        <v>40300</v>
      </c>
      <c r="Y98" s="101">
        <v>40300</v>
      </c>
      <c r="Z98" s="101">
        <v>40300</v>
      </c>
      <c r="AA98" s="101">
        <v>40300</v>
      </c>
      <c r="AB98" s="101">
        <v>40300</v>
      </c>
      <c r="AC98" s="101">
        <v>40300</v>
      </c>
      <c r="AD98" s="101">
        <v>40300</v>
      </c>
      <c r="AE98" s="101">
        <v>40300</v>
      </c>
      <c r="AF98" s="101">
        <v>40300</v>
      </c>
      <c r="AG98" s="101">
        <v>40300</v>
      </c>
      <c r="AH98" s="101">
        <v>40300</v>
      </c>
      <c r="AI98" s="101">
        <v>40300</v>
      </c>
      <c r="AJ98" s="101">
        <v>40300</v>
      </c>
      <c r="AK98" s="101">
        <v>40300</v>
      </c>
      <c r="AL98" s="101">
        <v>40300</v>
      </c>
      <c r="AM98" s="101">
        <v>40300</v>
      </c>
      <c r="AN98" s="101">
        <v>40300</v>
      </c>
      <c r="AO98" s="101">
        <v>40300</v>
      </c>
      <c r="AP98" s="101">
        <v>40300</v>
      </c>
      <c r="AQ98" s="101">
        <v>40300</v>
      </c>
      <c r="AR98" s="101">
        <v>40300</v>
      </c>
      <c r="AS98" s="101">
        <v>40300</v>
      </c>
      <c r="AT98" s="101">
        <v>40300</v>
      </c>
      <c r="AU98" s="101">
        <v>40300</v>
      </c>
    </row>
    <row r="99" spans="1:47">
      <c r="A99" t="str">
        <f>IF('Plant Data'!A99="","",'Plant Data'!A99)</f>
        <v>ANDAasd38</v>
      </c>
      <c r="B99" s="101">
        <v>40300</v>
      </c>
      <c r="C99" s="101">
        <v>40300</v>
      </c>
      <c r="D99" s="101">
        <v>40300</v>
      </c>
      <c r="E99" s="101">
        <v>40300</v>
      </c>
      <c r="F99" s="101">
        <v>40300</v>
      </c>
      <c r="G99" s="101">
        <v>40300</v>
      </c>
      <c r="H99" s="101">
        <v>40300</v>
      </c>
      <c r="I99" s="101">
        <v>40300</v>
      </c>
      <c r="J99" s="101">
        <v>40300</v>
      </c>
      <c r="K99" s="101">
        <v>40300</v>
      </c>
      <c r="L99" s="101">
        <v>40300</v>
      </c>
      <c r="M99" s="101">
        <v>40300</v>
      </c>
      <c r="N99" s="101">
        <v>40300</v>
      </c>
      <c r="O99" s="101">
        <v>40300</v>
      </c>
      <c r="P99" s="101">
        <v>40300</v>
      </c>
      <c r="Q99" s="101">
        <v>40300</v>
      </c>
      <c r="R99" s="101">
        <v>40300</v>
      </c>
      <c r="S99" s="101">
        <v>40300</v>
      </c>
      <c r="T99" s="101">
        <v>40300</v>
      </c>
      <c r="U99" s="101">
        <v>40300</v>
      </c>
      <c r="V99" s="101">
        <v>40300</v>
      </c>
      <c r="W99" s="101">
        <v>40300</v>
      </c>
      <c r="X99" s="101">
        <v>40300</v>
      </c>
      <c r="Y99" s="101">
        <v>40300</v>
      </c>
      <c r="Z99" s="101">
        <v>40300</v>
      </c>
      <c r="AA99" s="101">
        <v>40300</v>
      </c>
      <c r="AB99" s="101">
        <v>40300</v>
      </c>
      <c r="AC99" s="101">
        <v>40300</v>
      </c>
      <c r="AD99" s="101">
        <v>40300</v>
      </c>
      <c r="AE99" s="101">
        <v>40300</v>
      </c>
      <c r="AF99" s="101">
        <v>40300</v>
      </c>
      <c r="AG99" s="101">
        <v>40300</v>
      </c>
      <c r="AH99" s="101">
        <v>40300</v>
      </c>
      <c r="AI99" s="101">
        <v>40300</v>
      </c>
      <c r="AJ99" s="101">
        <v>40300</v>
      </c>
      <c r="AK99" s="101">
        <v>40300</v>
      </c>
      <c r="AL99" s="101">
        <v>40300</v>
      </c>
      <c r="AM99" s="101">
        <v>40300</v>
      </c>
      <c r="AN99" s="101">
        <v>40300</v>
      </c>
      <c r="AO99" s="101">
        <v>40300</v>
      </c>
      <c r="AP99" s="101">
        <v>40300</v>
      </c>
      <c r="AQ99" s="101">
        <v>40300</v>
      </c>
      <c r="AR99" s="101">
        <v>40300</v>
      </c>
      <c r="AS99" s="101">
        <v>40300</v>
      </c>
      <c r="AT99" s="101">
        <v>40300</v>
      </c>
      <c r="AU99" s="101">
        <v>40300</v>
      </c>
    </row>
    <row r="100" spans="1:47">
      <c r="A100" t="str">
        <f>IF('Plant Data'!A100="","",'Plant Data'!A100)</f>
        <v>ANDAasd39</v>
      </c>
      <c r="B100" s="101">
        <v>40300</v>
      </c>
      <c r="C100" s="101">
        <v>40300</v>
      </c>
      <c r="D100" s="101">
        <v>40300</v>
      </c>
      <c r="E100" s="101">
        <v>40300</v>
      </c>
      <c r="F100" s="101">
        <v>40300</v>
      </c>
      <c r="G100" s="101">
        <v>40300</v>
      </c>
      <c r="H100" s="101">
        <v>40300</v>
      </c>
      <c r="I100" s="101">
        <v>40300</v>
      </c>
      <c r="J100" s="101">
        <v>40300</v>
      </c>
      <c r="K100" s="101">
        <v>40300</v>
      </c>
      <c r="L100" s="101">
        <v>40300</v>
      </c>
      <c r="M100" s="101">
        <v>40300</v>
      </c>
      <c r="N100" s="101">
        <v>40300</v>
      </c>
      <c r="O100" s="101">
        <v>40300</v>
      </c>
      <c r="P100" s="101">
        <v>40300</v>
      </c>
      <c r="Q100" s="101">
        <v>40300</v>
      </c>
      <c r="R100" s="101">
        <v>40300</v>
      </c>
      <c r="S100" s="101">
        <v>40300</v>
      </c>
      <c r="T100" s="101">
        <v>40300</v>
      </c>
      <c r="U100" s="101">
        <v>40300</v>
      </c>
      <c r="V100" s="101">
        <v>40300</v>
      </c>
      <c r="W100" s="101">
        <v>40300</v>
      </c>
      <c r="X100" s="101">
        <v>40300</v>
      </c>
      <c r="Y100" s="101">
        <v>40300</v>
      </c>
      <c r="Z100" s="101">
        <v>40300</v>
      </c>
      <c r="AA100" s="101">
        <v>40300</v>
      </c>
      <c r="AB100" s="101">
        <v>40300</v>
      </c>
      <c r="AC100" s="101">
        <v>40300</v>
      </c>
      <c r="AD100" s="101">
        <v>40300</v>
      </c>
      <c r="AE100" s="101">
        <v>40300</v>
      </c>
      <c r="AF100" s="101">
        <v>40300</v>
      </c>
      <c r="AG100" s="101">
        <v>40300</v>
      </c>
      <c r="AH100" s="101">
        <v>40300</v>
      </c>
      <c r="AI100" s="101">
        <v>40300</v>
      </c>
      <c r="AJ100" s="101">
        <v>40300</v>
      </c>
      <c r="AK100" s="101">
        <v>40300</v>
      </c>
      <c r="AL100" s="101">
        <v>40300</v>
      </c>
      <c r="AM100" s="101">
        <v>40300</v>
      </c>
      <c r="AN100" s="101">
        <v>40300</v>
      </c>
      <c r="AO100" s="101">
        <v>40300</v>
      </c>
      <c r="AP100" s="101">
        <v>40300</v>
      </c>
      <c r="AQ100" s="101">
        <v>40300</v>
      </c>
      <c r="AR100" s="101">
        <v>40300</v>
      </c>
      <c r="AS100" s="101">
        <v>40300</v>
      </c>
      <c r="AT100" s="101">
        <v>40300</v>
      </c>
      <c r="AU100" s="101">
        <v>40300</v>
      </c>
    </row>
    <row r="101" spans="1:47">
      <c r="A101" t="str">
        <f>IF('Plant Data'!A101="","",'Plant Data'!A101)</f>
        <v>ANDAasd40</v>
      </c>
      <c r="B101" s="101">
        <v>40300</v>
      </c>
      <c r="C101" s="101">
        <v>40300</v>
      </c>
      <c r="D101" s="101">
        <v>40300</v>
      </c>
      <c r="E101" s="101">
        <v>40300</v>
      </c>
      <c r="F101" s="101">
        <v>40300</v>
      </c>
      <c r="G101" s="101">
        <v>40300</v>
      </c>
      <c r="H101" s="101">
        <v>40300</v>
      </c>
      <c r="I101" s="101">
        <v>40300</v>
      </c>
      <c r="J101" s="101">
        <v>40300</v>
      </c>
      <c r="K101" s="101">
        <v>40300</v>
      </c>
      <c r="L101" s="101">
        <v>40300</v>
      </c>
      <c r="M101" s="101">
        <v>40300</v>
      </c>
      <c r="N101" s="101">
        <v>40300</v>
      </c>
      <c r="O101" s="101">
        <v>40300</v>
      </c>
      <c r="P101" s="101">
        <v>40300</v>
      </c>
      <c r="Q101" s="101">
        <v>40300</v>
      </c>
      <c r="R101" s="101">
        <v>40300</v>
      </c>
      <c r="S101" s="101">
        <v>40300</v>
      </c>
      <c r="T101" s="101">
        <v>40300</v>
      </c>
      <c r="U101" s="101">
        <v>40300</v>
      </c>
      <c r="V101" s="101">
        <v>40300</v>
      </c>
      <c r="W101" s="101">
        <v>40300</v>
      </c>
      <c r="X101" s="101">
        <v>40300</v>
      </c>
      <c r="Y101" s="101">
        <v>40300</v>
      </c>
      <c r="Z101" s="101">
        <v>40300</v>
      </c>
      <c r="AA101" s="101">
        <v>40300</v>
      </c>
      <c r="AB101" s="101">
        <v>40300</v>
      </c>
      <c r="AC101" s="101">
        <v>40300</v>
      </c>
      <c r="AD101" s="101">
        <v>40300</v>
      </c>
      <c r="AE101" s="101">
        <v>40300</v>
      </c>
      <c r="AF101" s="101">
        <v>40300</v>
      </c>
      <c r="AG101" s="101">
        <v>40300</v>
      </c>
      <c r="AH101" s="101">
        <v>40300</v>
      </c>
      <c r="AI101" s="101">
        <v>40300</v>
      </c>
      <c r="AJ101" s="101">
        <v>40300</v>
      </c>
      <c r="AK101" s="101">
        <v>40300</v>
      </c>
      <c r="AL101" s="101">
        <v>40300</v>
      </c>
      <c r="AM101" s="101">
        <v>40300</v>
      </c>
      <c r="AN101" s="101">
        <v>40300</v>
      </c>
      <c r="AO101" s="101">
        <v>40300</v>
      </c>
      <c r="AP101" s="101">
        <v>40300</v>
      </c>
      <c r="AQ101" s="101">
        <v>40300</v>
      </c>
      <c r="AR101" s="101">
        <v>40300</v>
      </c>
      <c r="AS101" s="101">
        <v>40300</v>
      </c>
      <c r="AT101" s="101">
        <v>40300</v>
      </c>
      <c r="AU101" s="101">
        <v>40300</v>
      </c>
    </row>
    <row r="102" spans="1:47">
      <c r="A102" t="str">
        <f>IF('Plant Data'!A102="","",'Plant Data'!A102)</f>
        <v>ANDAasd41</v>
      </c>
      <c r="B102" s="101">
        <v>40300</v>
      </c>
      <c r="C102" s="101">
        <v>40300</v>
      </c>
      <c r="D102" s="101">
        <v>40300</v>
      </c>
      <c r="E102" s="101">
        <v>40300</v>
      </c>
      <c r="F102" s="101">
        <v>40300</v>
      </c>
      <c r="G102" s="101">
        <v>40300</v>
      </c>
      <c r="H102" s="101">
        <v>40300</v>
      </c>
      <c r="I102" s="101">
        <v>40300</v>
      </c>
      <c r="J102" s="101">
        <v>40300</v>
      </c>
      <c r="K102" s="101">
        <v>40300</v>
      </c>
      <c r="L102" s="101">
        <v>40300</v>
      </c>
      <c r="M102" s="101">
        <v>40300</v>
      </c>
      <c r="N102" s="101">
        <v>40300</v>
      </c>
      <c r="O102" s="101">
        <v>40300</v>
      </c>
      <c r="P102" s="101">
        <v>40300</v>
      </c>
      <c r="Q102" s="101">
        <v>40300</v>
      </c>
      <c r="R102" s="101">
        <v>40300</v>
      </c>
      <c r="S102" s="101">
        <v>40300</v>
      </c>
      <c r="T102" s="101">
        <v>40300</v>
      </c>
      <c r="U102" s="101">
        <v>40300</v>
      </c>
      <c r="V102" s="101">
        <v>40300</v>
      </c>
      <c r="W102" s="101">
        <v>40300</v>
      </c>
      <c r="X102" s="101">
        <v>40300</v>
      </c>
      <c r="Y102" s="101">
        <v>40300</v>
      </c>
      <c r="Z102" s="101">
        <v>40300</v>
      </c>
      <c r="AA102" s="101">
        <v>40300</v>
      </c>
      <c r="AB102" s="101">
        <v>40300</v>
      </c>
      <c r="AC102" s="101">
        <v>40300</v>
      </c>
      <c r="AD102" s="101">
        <v>40300</v>
      </c>
      <c r="AE102" s="101">
        <v>40300</v>
      </c>
      <c r="AF102" s="101">
        <v>40300</v>
      </c>
      <c r="AG102" s="101">
        <v>40300</v>
      </c>
      <c r="AH102" s="101">
        <v>40300</v>
      </c>
      <c r="AI102" s="101">
        <v>40300</v>
      </c>
      <c r="AJ102" s="101">
        <v>40300</v>
      </c>
      <c r="AK102" s="101">
        <v>40300</v>
      </c>
      <c r="AL102" s="101">
        <v>40300</v>
      </c>
      <c r="AM102" s="101">
        <v>40300</v>
      </c>
      <c r="AN102" s="101">
        <v>40300</v>
      </c>
      <c r="AO102" s="101">
        <v>40300</v>
      </c>
      <c r="AP102" s="101">
        <v>40300</v>
      </c>
      <c r="AQ102" s="101">
        <v>40300</v>
      </c>
      <c r="AR102" s="101">
        <v>40300</v>
      </c>
      <c r="AS102" s="101">
        <v>40300</v>
      </c>
      <c r="AT102" s="101">
        <v>40300</v>
      </c>
      <c r="AU102" s="101">
        <v>40300</v>
      </c>
    </row>
    <row r="103" spans="1:47">
      <c r="A103" t="str">
        <f>IF('Plant Data'!A103="","",'Plant Data'!A103)</f>
        <v>ANDAasd42</v>
      </c>
      <c r="B103" s="101">
        <v>40300</v>
      </c>
      <c r="C103" s="101">
        <v>40300</v>
      </c>
      <c r="D103" s="101">
        <v>40300</v>
      </c>
      <c r="E103" s="101">
        <v>40300</v>
      </c>
      <c r="F103" s="101">
        <v>40300</v>
      </c>
      <c r="G103" s="101">
        <v>40300</v>
      </c>
      <c r="H103" s="101">
        <v>40300</v>
      </c>
      <c r="I103" s="101">
        <v>40300</v>
      </c>
      <c r="J103" s="101">
        <v>40300</v>
      </c>
      <c r="K103" s="101">
        <v>40300</v>
      </c>
      <c r="L103" s="101">
        <v>40300</v>
      </c>
      <c r="M103" s="101">
        <v>40300</v>
      </c>
      <c r="N103" s="101">
        <v>40300</v>
      </c>
      <c r="O103" s="101">
        <v>40300</v>
      </c>
      <c r="P103" s="101">
        <v>40300</v>
      </c>
      <c r="Q103" s="101">
        <v>40300</v>
      </c>
      <c r="R103" s="101">
        <v>40300</v>
      </c>
      <c r="S103" s="101">
        <v>40300</v>
      </c>
      <c r="T103" s="101">
        <v>40300</v>
      </c>
      <c r="U103" s="101">
        <v>40300</v>
      </c>
      <c r="V103" s="101">
        <v>40300</v>
      </c>
      <c r="W103" s="101">
        <v>40300</v>
      </c>
      <c r="X103" s="101">
        <v>40300</v>
      </c>
      <c r="Y103" s="101">
        <v>40300</v>
      </c>
      <c r="Z103" s="101">
        <v>40300</v>
      </c>
      <c r="AA103" s="101">
        <v>40300</v>
      </c>
      <c r="AB103" s="101">
        <v>40300</v>
      </c>
      <c r="AC103" s="101">
        <v>40300</v>
      </c>
      <c r="AD103" s="101">
        <v>40300</v>
      </c>
      <c r="AE103" s="101">
        <v>40300</v>
      </c>
      <c r="AF103" s="101">
        <v>40300</v>
      </c>
      <c r="AG103" s="101">
        <v>40300</v>
      </c>
      <c r="AH103" s="101">
        <v>40300</v>
      </c>
      <c r="AI103" s="101">
        <v>40300</v>
      </c>
      <c r="AJ103" s="101">
        <v>40300</v>
      </c>
      <c r="AK103" s="101">
        <v>40300</v>
      </c>
      <c r="AL103" s="101">
        <v>40300</v>
      </c>
      <c r="AM103" s="101">
        <v>40300</v>
      </c>
      <c r="AN103" s="101">
        <v>40300</v>
      </c>
      <c r="AO103" s="101">
        <v>40300</v>
      </c>
      <c r="AP103" s="101">
        <v>40300</v>
      </c>
      <c r="AQ103" s="101">
        <v>40300</v>
      </c>
      <c r="AR103" s="101">
        <v>40300</v>
      </c>
      <c r="AS103" s="101">
        <v>40300</v>
      </c>
      <c r="AT103" s="101">
        <v>40300</v>
      </c>
      <c r="AU103" s="101">
        <v>40300</v>
      </c>
    </row>
    <row r="104" spans="1:47">
      <c r="A104" t="str">
        <f>IF('Plant Data'!A104="","",'Plant Data'!A104)</f>
        <v>ANDAasd43</v>
      </c>
      <c r="B104" s="101">
        <v>40300</v>
      </c>
      <c r="C104" s="101">
        <v>40300</v>
      </c>
      <c r="D104" s="101">
        <v>40300</v>
      </c>
      <c r="E104" s="101">
        <v>40300</v>
      </c>
      <c r="F104" s="101">
        <v>40300</v>
      </c>
      <c r="G104" s="101">
        <v>40300</v>
      </c>
      <c r="H104" s="101">
        <v>40300</v>
      </c>
      <c r="I104" s="101">
        <v>40300</v>
      </c>
      <c r="J104" s="101">
        <v>40300</v>
      </c>
      <c r="K104" s="101">
        <v>40300</v>
      </c>
      <c r="L104" s="101">
        <v>40300</v>
      </c>
      <c r="M104" s="101">
        <v>40300</v>
      </c>
      <c r="N104" s="101">
        <v>40300</v>
      </c>
      <c r="O104" s="101">
        <v>40300</v>
      </c>
      <c r="P104" s="101">
        <v>40300</v>
      </c>
      <c r="Q104" s="101">
        <v>40300</v>
      </c>
      <c r="R104" s="101">
        <v>40300</v>
      </c>
      <c r="S104" s="101">
        <v>40300</v>
      </c>
      <c r="T104" s="101">
        <v>40300</v>
      </c>
      <c r="U104" s="101">
        <v>40300</v>
      </c>
      <c r="V104" s="101">
        <v>40300</v>
      </c>
      <c r="W104" s="101">
        <v>40300</v>
      </c>
      <c r="X104" s="101">
        <v>40300</v>
      </c>
      <c r="Y104" s="101">
        <v>40300</v>
      </c>
      <c r="Z104" s="101">
        <v>40300</v>
      </c>
      <c r="AA104" s="101">
        <v>40300</v>
      </c>
      <c r="AB104" s="101">
        <v>40300</v>
      </c>
      <c r="AC104" s="101">
        <v>40300</v>
      </c>
      <c r="AD104" s="101">
        <v>40300</v>
      </c>
      <c r="AE104" s="101">
        <v>40300</v>
      </c>
      <c r="AF104" s="101">
        <v>40300</v>
      </c>
      <c r="AG104" s="101">
        <v>40300</v>
      </c>
      <c r="AH104" s="101">
        <v>40300</v>
      </c>
      <c r="AI104" s="101">
        <v>40300</v>
      </c>
      <c r="AJ104" s="101">
        <v>40300</v>
      </c>
      <c r="AK104" s="101">
        <v>40300</v>
      </c>
      <c r="AL104" s="101">
        <v>40300</v>
      </c>
      <c r="AM104" s="101">
        <v>40300</v>
      </c>
      <c r="AN104" s="101">
        <v>40300</v>
      </c>
      <c r="AO104" s="101">
        <v>40300</v>
      </c>
      <c r="AP104" s="101">
        <v>40300</v>
      </c>
      <c r="AQ104" s="101">
        <v>40300</v>
      </c>
      <c r="AR104" s="101">
        <v>40300</v>
      </c>
      <c r="AS104" s="101">
        <v>40300</v>
      </c>
      <c r="AT104" s="101">
        <v>40300</v>
      </c>
      <c r="AU104" s="101">
        <v>40300</v>
      </c>
    </row>
    <row r="105" spans="1:47">
      <c r="A105" t="str">
        <f>IF('Plant Data'!A105="","",'Plant Data'!A105)</f>
        <v>ANDAasd44</v>
      </c>
      <c r="B105" s="101">
        <v>40300</v>
      </c>
      <c r="C105" s="101">
        <v>40300</v>
      </c>
      <c r="D105" s="101">
        <v>40300</v>
      </c>
      <c r="E105" s="101">
        <v>40300</v>
      </c>
      <c r="F105" s="101">
        <v>40300</v>
      </c>
      <c r="G105" s="101">
        <v>40300</v>
      </c>
      <c r="H105" s="101">
        <v>40300</v>
      </c>
      <c r="I105" s="101">
        <v>40300</v>
      </c>
      <c r="J105" s="101">
        <v>40300</v>
      </c>
      <c r="K105" s="101">
        <v>40300</v>
      </c>
      <c r="L105" s="101">
        <v>40300</v>
      </c>
      <c r="M105" s="101">
        <v>40300</v>
      </c>
      <c r="N105" s="101">
        <v>40300</v>
      </c>
      <c r="O105" s="101">
        <v>40300</v>
      </c>
      <c r="P105" s="101">
        <v>40300</v>
      </c>
      <c r="Q105" s="101">
        <v>40300</v>
      </c>
      <c r="R105" s="101">
        <v>40300</v>
      </c>
      <c r="S105" s="101">
        <v>40300</v>
      </c>
      <c r="T105" s="101">
        <v>40300</v>
      </c>
      <c r="U105" s="101">
        <v>40300</v>
      </c>
      <c r="V105" s="101">
        <v>40300</v>
      </c>
      <c r="W105" s="101">
        <v>40300</v>
      </c>
      <c r="X105" s="101">
        <v>40300</v>
      </c>
      <c r="Y105" s="101">
        <v>40300</v>
      </c>
      <c r="Z105" s="101">
        <v>40300</v>
      </c>
      <c r="AA105" s="101">
        <v>40300</v>
      </c>
      <c r="AB105" s="101">
        <v>40300</v>
      </c>
      <c r="AC105" s="101">
        <v>40300</v>
      </c>
      <c r="AD105" s="101">
        <v>40300</v>
      </c>
      <c r="AE105" s="101">
        <v>40300</v>
      </c>
      <c r="AF105" s="101">
        <v>40300</v>
      </c>
      <c r="AG105" s="101">
        <v>40300</v>
      </c>
      <c r="AH105" s="101">
        <v>40300</v>
      </c>
      <c r="AI105" s="101">
        <v>40300</v>
      </c>
      <c r="AJ105" s="101">
        <v>40300</v>
      </c>
      <c r="AK105" s="101">
        <v>40300</v>
      </c>
      <c r="AL105" s="101">
        <v>40300</v>
      </c>
      <c r="AM105" s="101">
        <v>40300</v>
      </c>
      <c r="AN105" s="101">
        <v>40300</v>
      </c>
      <c r="AO105" s="101">
        <v>40300</v>
      </c>
      <c r="AP105" s="101">
        <v>40300</v>
      </c>
      <c r="AQ105" s="101">
        <v>40300</v>
      </c>
      <c r="AR105" s="101">
        <v>40300</v>
      </c>
      <c r="AS105" s="101">
        <v>40300</v>
      </c>
      <c r="AT105" s="101">
        <v>40300</v>
      </c>
      <c r="AU105" s="101">
        <v>40300</v>
      </c>
    </row>
    <row r="106" spans="1:47">
      <c r="A106" t="str">
        <f>IF('Plant Data'!A106="","",'Plant Data'!A106)</f>
        <v>ANDAasd45</v>
      </c>
      <c r="B106" s="101">
        <v>40300</v>
      </c>
      <c r="C106" s="101">
        <v>40300</v>
      </c>
      <c r="D106" s="101">
        <v>40300</v>
      </c>
      <c r="E106" s="101">
        <v>40300</v>
      </c>
      <c r="F106" s="101">
        <v>40300</v>
      </c>
      <c r="G106" s="101">
        <v>40300</v>
      </c>
      <c r="H106" s="101">
        <v>40300</v>
      </c>
      <c r="I106" s="101">
        <v>40300</v>
      </c>
      <c r="J106" s="101">
        <v>40300</v>
      </c>
      <c r="K106" s="101">
        <v>40300</v>
      </c>
      <c r="L106" s="101">
        <v>40300</v>
      </c>
      <c r="M106" s="101">
        <v>40300</v>
      </c>
      <c r="N106" s="101">
        <v>40300</v>
      </c>
      <c r="O106" s="101">
        <v>40300</v>
      </c>
      <c r="P106" s="101">
        <v>40300</v>
      </c>
      <c r="Q106" s="101">
        <v>40300</v>
      </c>
      <c r="R106" s="101">
        <v>40300</v>
      </c>
      <c r="S106" s="101">
        <v>40300</v>
      </c>
      <c r="T106" s="101">
        <v>40300</v>
      </c>
      <c r="U106" s="101">
        <v>40300</v>
      </c>
      <c r="V106" s="101">
        <v>40300</v>
      </c>
      <c r="W106" s="101">
        <v>40300</v>
      </c>
      <c r="X106" s="101">
        <v>40300</v>
      </c>
      <c r="Y106" s="101">
        <v>40300</v>
      </c>
      <c r="Z106" s="101">
        <v>40300</v>
      </c>
      <c r="AA106" s="101">
        <v>40300</v>
      </c>
      <c r="AB106" s="101">
        <v>40300</v>
      </c>
      <c r="AC106" s="101">
        <v>40300</v>
      </c>
      <c r="AD106" s="101">
        <v>40300</v>
      </c>
      <c r="AE106" s="101">
        <v>40300</v>
      </c>
      <c r="AF106" s="101">
        <v>40300</v>
      </c>
      <c r="AG106" s="101">
        <v>40300</v>
      </c>
      <c r="AH106" s="101">
        <v>40300</v>
      </c>
      <c r="AI106" s="101">
        <v>40300</v>
      </c>
      <c r="AJ106" s="101">
        <v>40300</v>
      </c>
      <c r="AK106" s="101">
        <v>40300</v>
      </c>
      <c r="AL106" s="101">
        <v>40300</v>
      </c>
      <c r="AM106" s="101">
        <v>40300</v>
      </c>
      <c r="AN106" s="101">
        <v>40300</v>
      </c>
      <c r="AO106" s="101">
        <v>40300</v>
      </c>
      <c r="AP106" s="101">
        <v>40300</v>
      </c>
      <c r="AQ106" s="101">
        <v>40300</v>
      </c>
      <c r="AR106" s="101">
        <v>40300</v>
      </c>
      <c r="AS106" s="101">
        <v>40300</v>
      </c>
      <c r="AT106" s="101">
        <v>40300</v>
      </c>
      <c r="AU106" s="101">
        <v>40300</v>
      </c>
    </row>
    <row r="107" spans="1:47">
      <c r="A107" t="str">
        <f>IF('Plant Data'!A107="","",'Plant Data'!A107)</f>
        <v>ANDAasd46</v>
      </c>
      <c r="B107" s="101">
        <v>40300</v>
      </c>
      <c r="C107" s="101">
        <v>40300</v>
      </c>
      <c r="D107" s="101">
        <v>40300</v>
      </c>
      <c r="E107" s="101">
        <v>40300</v>
      </c>
      <c r="F107" s="101">
        <v>40300</v>
      </c>
      <c r="G107" s="101">
        <v>40300</v>
      </c>
      <c r="H107" s="101">
        <v>40300</v>
      </c>
      <c r="I107" s="101">
        <v>40300</v>
      </c>
      <c r="J107" s="101">
        <v>40300</v>
      </c>
      <c r="K107" s="101">
        <v>40300</v>
      </c>
      <c r="L107" s="101">
        <v>40300</v>
      </c>
      <c r="M107" s="101">
        <v>40300</v>
      </c>
      <c r="N107" s="101">
        <v>40300</v>
      </c>
      <c r="O107" s="101">
        <v>40300</v>
      </c>
      <c r="P107" s="101">
        <v>40300</v>
      </c>
      <c r="Q107" s="101">
        <v>40300</v>
      </c>
      <c r="R107" s="101">
        <v>40300</v>
      </c>
      <c r="S107" s="101">
        <v>40300</v>
      </c>
      <c r="T107" s="101">
        <v>40300</v>
      </c>
      <c r="U107" s="101">
        <v>40300</v>
      </c>
      <c r="V107" s="101">
        <v>40300</v>
      </c>
      <c r="W107" s="101">
        <v>40300</v>
      </c>
      <c r="X107" s="101">
        <v>40300</v>
      </c>
      <c r="Y107" s="101">
        <v>40300</v>
      </c>
      <c r="Z107" s="101">
        <v>40300</v>
      </c>
      <c r="AA107" s="101">
        <v>40300</v>
      </c>
      <c r="AB107" s="101">
        <v>40300</v>
      </c>
      <c r="AC107" s="101">
        <v>40300</v>
      </c>
      <c r="AD107" s="101">
        <v>40300</v>
      </c>
      <c r="AE107" s="101">
        <v>40300</v>
      </c>
      <c r="AF107" s="101">
        <v>40300</v>
      </c>
      <c r="AG107" s="101">
        <v>40300</v>
      </c>
      <c r="AH107" s="101">
        <v>40300</v>
      </c>
      <c r="AI107" s="101">
        <v>40300</v>
      </c>
      <c r="AJ107" s="101">
        <v>40300</v>
      </c>
      <c r="AK107" s="101">
        <v>40300</v>
      </c>
      <c r="AL107" s="101">
        <v>40300</v>
      </c>
      <c r="AM107" s="101">
        <v>40300</v>
      </c>
      <c r="AN107" s="101">
        <v>40300</v>
      </c>
      <c r="AO107" s="101">
        <v>40300</v>
      </c>
      <c r="AP107" s="101">
        <v>40300</v>
      </c>
      <c r="AQ107" s="101">
        <v>40300</v>
      </c>
      <c r="AR107" s="101">
        <v>40300</v>
      </c>
      <c r="AS107" s="101">
        <v>40300</v>
      </c>
      <c r="AT107" s="101">
        <v>40300</v>
      </c>
      <c r="AU107" s="101">
        <v>40300</v>
      </c>
    </row>
    <row r="108" spans="1:47">
      <c r="A108" t="str">
        <f>IF('Plant Data'!A108="","",'Plant Data'!A108)</f>
        <v>ANDAasd47</v>
      </c>
      <c r="B108" s="101">
        <v>40300</v>
      </c>
      <c r="C108" s="101">
        <v>40300</v>
      </c>
      <c r="D108" s="101">
        <v>40300</v>
      </c>
      <c r="E108" s="101">
        <v>40300</v>
      </c>
      <c r="F108" s="101">
        <v>40300</v>
      </c>
      <c r="G108" s="101">
        <v>40300</v>
      </c>
      <c r="H108" s="101">
        <v>40300</v>
      </c>
      <c r="I108" s="101">
        <v>40300</v>
      </c>
      <c r="J108" s="101">
        <v>40300</v>
      </c>
      <c r="K108" s="101">
        <v>40300</v>
      </c>
      <c r="L108" s="101">
        <v>40300</v>
      </c>
      <c r="M108" s="101">
        <v>40300</v>
      </c>
      <c r="N108" s="101">
        <v>40300</v>
      </c>
      <c r="O108" s="101">
        <v>40300</v>
      </c>
      <c r="P108" s="101">
        <v>40300</v>
      </c>
      <c r="Q108" s="101">
        <v>40300</v>
      </c>
      <c r="R108" s="101">
        <v>40300</v>
      </c>
      <c r="S108" s="101">
        <v>40300</v>
      </c>
      <c r="T108" s="101">
        <v>40300</v>
      </c>
      <c r="U108" s="101">
        <v>40300</v>
      </c>
      <c r="V108" s="101">
        <v>40300</v>
      </c>
      <c r="W108" s="101">
        <v>40300</v>
      </c>
      <c r="X108" s="101">
        <v>40300</v>
      </c>
      <c r="Y108" s="101">
        <v>40300</v>
      </c>
      <c r="Z108" s="101">
        <v>40300</v>
      </c>
      <c r="AA108" s="101">
        <v>40300</v>
      </c>
      <c r="AB108" s="101">
        <v>40300</v>
      </c>
      <c r="AC108" s="101">
        <v>40300</v>
      </c>
      <c r="AD108" s="101">
        <v>40300</v>
      </c>
      <c r="AE108" s="101">
        <v>40300</v>
      </c>
      <c r="AF108" s="101">
        <v>40300</v>
      </c>
      <c r="AG108" s="101">
        <v>40300</v>
      </c>
      <c r="AH108" s="101">
        <v>40300</v>
      </c>
      <c r="AI108" s="101">
        <v>40300</v>
      </c>
      <c r="AJ108" s="101">
        <v>40300</v>
      </c>
      <c r="AK108" s="101">
        <v>40300</v>
      </c>
      <c r="AL108" s="101">
        <v>40300</v>
      </c>
      <c r="AM108" s="101">
        <v>40300</v>
      </c>
      <c r="AN108" s="101">
        <v>40300</v>
      </c>
      <c r="AO108" s="101">
        <v>40300</v>
      </c>
      <c r="AP108" s="101">
        <v>40300</v>
      </c>
      <c r="AQ108" s="101">
        <v>40300</v>
      </c>
      <c r="AR108" s="101">
        <v>40300</v>
      </c>
      <c r="AS108" s="101">
        <v>40300</v>
      </c>
      <c r="AT108" s="101">
        <v>40300</v>
      </c>
      <c r="AU108" s="101">
        <v>40300</v>
      </c>
    </row>
    <row r="109" spans="1:47">
      <c r="A109" t="str">
        <f>IF('Plant Data'!A109="","",'Plant Data'!A109)</f>
        <v>ANDAasd48</v>
      </c>
      <c r="B109" s="101">
        <v>40300</v>
      </c>
      <c r="C109" s="101">
        <v>40300</v>
      </c>
      <c r="D109" s="101">
        <v>40300</v>
      </c>
      <c r="E109" s="101">
        <v>40300</v>
      </c>
      <c r="F109" s="101">
        <v>40300</v>
      </c>
      <c r="G109" s="101">
        <v>40300</v>
      </c>
      <c r="H109" s="101">
        <v>40300</v>
      </c>
      <c r="I109" s="101">
        <v>40300</v>
      </c>
      <c r="J109" s="101">
        <v>40300</v>
      </c>
      <c r="K109" s="101">
        <v>40300</v>
      </c>
      <c r="L109" s="101">
        <v>40300</v>
      </c>
      <c r="M109" s="101">
        <v>40300</v>
      </c>
      <c r="N109" s="101">
        <v>40300</v>
      </c>
      <c r="O109" s="101">
        <v>40300</v>
      </c>
      <c r="P109" s="101">
        <v>40300</v>
      </c>
      <c r="Q109" s="101">
        <v>40300</v>
      </c>
      <c r="R109" s="101">
        <v>40300</v>
      </c>
      <c r="S109" s="101">
        <v>40300</v>
      </c>
      <c r="T109" s="101">
        <v>40300</v>
      </c>
      <c r="U109" s="101">
        <v>40300</v>
      </c>
      <c r="V109" s="101">
        <v>40300</v>
      </c>
      <c r="W109" s="101">
        <v>40300</v>
      </c>
      <c r="X109" s="101">
        <v>40300</v>
      </c>
      <c r="Y109" s="101">
        <v>40300</v>
      </c>
      <c r="Z109" s="101">
        <v>40300</v>
      </c>
      <c r="AA109" s="101">
        <v>40300</v>
      </c>
      <c r="AB109" s="101">
        <v>40300</v>
      </c>
      <c r="AC109" s="101">
        <v>40300</v>
      </c>
      <c r="AD109" s="101">
        <v>40300</v>
      </c>
      <c r="AE109" s="101">
        <v>40300</v>
      </c>
      <c r="AF109" s="101">
        <v>40300</v>
      </c>
      <c r="AG109" s="101">
        <v>40300</v>
      </c>
      <c r="AH109" s="101">
        <v>40300</v>
      </c>
      <c r="AI109" s="101">
        <v>40300</v>
      </c>
      <c r="AJ109" s="101">
        <v>40300</v>
      </c>
      <c r="AK109" s="101">
        <v>40300</v>
      </c>
      <c r="AL109" s="101">
        <v>40300</v>
      </c>
      <c r="AM109" s="101">
        <v>40300</v>
      </c>
      <c r="AN109" s="101">
        <v>40300</v>
      </c>
      <c r="AO109" s="101">
        <v>40300</v>
      </c>
      <c r="AP109" s="101">
        <v>40300</v>
      </c>
      <c r="AQ109" s="101">
        <v>40300</v>
      </c>
      <c r="AR109" s="101">
        <v>40300</v>
      </c>
      <c r="AS109" s="101">
        <v>40300</v>
      </c>
      <c r="AT109" s="101">
        <v>40300</v>
      </c>
      <c r="AU109" s="101">
        <v>40300</v>
      </c>
    </row>
    <row r="110" spans="1:47">
      <c r="A110" t="str">
        <f>IF('Plant Data'!A110="","",'Plant Data'!A110)</f>
        <v>ANDAasd49</v>
      </c>
      <c r="B110" s="101">
        <v>40300</v>
      </c>
      <c r="C110" s="101">
        <v>40300</v>
      </c>
      <c r="D110" s="101">
        <v>40300</v>
      </c>
      <c r="E110" s="101">
        <v>40300</v>
      </c>
      <c r="F110" s="101">
        <v>40300</v>
      </c>
      <c r="G110" s="101">
        <v>40300</v>
      </c>
      <c r="H110" s="101">
        <v>40300</v>
      </c>
      <c r="I110" s="101">
        <v>40300</v>
      </c>
      <c r="J110" s="101">
        <v>40300</v>
      </c>
      <c r="K110" s="101">
        <v>40300</v>
      </c>
      <c r="L110" s="101">
        <v>40300</v>
      </c>
      <c r="M110" s="101">
        <v>40300</v>
      </c>
      <c r="N110" s="101">
        <v>40300</v>
      </c>
      <c r="O110" s="101">
        <v>40300</v>
      </c>
      <c r="P110" s="101">
        <v>40300</v>
      </c>
      <c r="Q110" s="101">
        <v>40300</v>
      </c>
      <c r="R110" s="101">
        <v>40300</v>
      </c>
      <c r="S110" s="101">
        <v>40300</v>
      </c>
      <c r="T110" s="101">
        <v>40300</v>
      </c>
      <c r="U110" s="101">
        <v>40300</v>
      </c>
      <c r="V110" s="101">
        <v>40300</v>
      </c>
      <c r="W110" s="101">
        <v>40300</v>
      </c>
      <c r="X110" s="101">
        <v>40300</v>
      </c>
      <c r="Y110" s="101">
        <v>40300</v>
      </c>
      <c r="Z110" s="101">
        <v>40300</v>
      </c>
      <c r="AA110" s="101">
        <v>40300</v>
      </c>
      <c r="AB110" s="101">
        <v>40300</v>
      </c>
      <c r="AC110" s="101">
        <v>40300</v>
      </c>
      <c r="AD110" s="101">
        <v>40300</v>
      </c>
      <c r="AE110" s="101">
        <v>40300</v>
      </c>
      <c r="AF110" s="101">
        <v>40300</v>
      </c>
      <c r="AG110" s="101">
        <v>40300</v>
      </c>
      <c r="AH110" s="101">
        <v>40300</v>
      </c>
      <c r="AI110" s="101">
        <v>40300</v>
      </c>
      <c r="AJ110" s="101">
        <v>40300</v>
      </c>
      <c r="AK110" s="101">
        <v>40300</v>
      </c>
      <c r="AL110" s="101">
        <v>40300</v>
      </c>
      <c r="AM110" s="101">
        <v>40300</v>
      </c>
      <c r="AN110" s="101">
        <v>40300</v>
      </c>
      <c r="AO110" s="101">
        <v>40300</v>
      </c>
      <c r="AP110" s="101">
        <v>40300</v>
      </c>
      <c r="AQ110" s="101">
        <v>40300</v>
      </c>
      <c r="AR110" s="101">
        <v>40300</v>
      </c>
      <c r="AS110" s="101">
        <v>40300</v>
      </c>
      <c r="AT110" s="101">
        <v>40300</v>
      </c>
      <c r="AU110" s="101">
        <v>40300</v>
      </c>
    </row>
    <row r="111" spans="1:47">
      <c r="A111" t="str">
        <f>IF('Plant Data'!A111="","",'Plant Data'!A111)</f>
        <v>ANDAasd50</v>
      </c>
      <c r="B111" s="101">
        <v>40300</v>
      </c>
      <c r="C111" s="101">
        <v>40300</v>
      </c>
      <c r="D111" s="101">
        <v>40300</v>
      </c>
      <c r="E111" s="101">
        <v>40300</v>
      </c>
      <c r="F111" s="101">
        <v>40300</v>
      </c>
      <c r="G111" s="101">
        <v>40300</v>
      </c>
      <c r="H111" s="101">
        <v>40300</v>
      </c>
      <c r="I111" s="101">
        <v>40300</v>
      </c>
      <c r="J111" s="101">
        <v>40300</v>
      </c>
      <c r="K111" s="101">
        <v>40300</v>
      </c>
      <c r="L111" s="101">
        <v>40300</v>
      </c>
      <c r="M111" s="101">
        <v>40300</v>
      </c>
      <c r="N111" s="101">
        <v>40300</v>
      </c>
      <c r="O111" s="101">
        <v>40300</v>
      </c>
      <c r="P111" s="101">
        <v>40300</v>
      </c>
      <c r="Q111" s="101">
        <v>40300</v>
      </c>
      <c r="R111" s="101">
        <v>40300</v>
      </c>
      <c r="S111" s="101">
        <v>40300</v>
      </c>
      <c r="T111" s="101">
        <v>40300</v>
      </c>
      <c r="U111" s="101">
        <v>40300</v>
      </c>
      <c r="V111" s="101">
        <v>40300</v>
      </c>
      <c r="W111" s="101">
        <v>40300</v>
      </c>
      <c r="X111" s="101">
        <v>40300</v>
      </c>
      <c r="Y111" s="101">
        <v>40300</v>
      </c>
      <c r="Z111" s="101">
        <v>40300</v>
      </c>
      <c r="AA111" s="101">
        <v>40300</v>
      </c>
      <c r="AB111" s="101">
        <v>40300</v>
      </c>
      <c r="AC111" s="101">
        <v>40300</v>
      </c>
      <c r="AD111" s="101">
        <v>40300</v>
      </c>
      <c r="AE111" s="101">
        <v>40300</v>
      </c>
      <c r="AF111" s="101">
        <v>40300</v>
      </c>
      <c r="AG111" s="101">
        <v>40300</v>
      </c>
      <c r="AH111" s="101">
        <v>40300</v>
      </c>
      <c r="AI111" s="101">
        <v>40300</v>
      </c>
      <c r="AJ111" s="101">
        <v>40300</v>
      </c>
      <c r="AK111" s="101">
        <v>40300</v>
      </c>
      <c r="AL111" s="101">
        <v>40300</v>
      </c>
      <c r="AM111" s="101">
        <v>40300</v>
      </c>
      <c r="AN111" s="101">
        <v>40300</v>
      </c>
      <c r="AO111" s="101">
        <v>40300</v>
      </c>
      <c r="AP111" s="101">
        <v>40300</v>
      </c>
      <c r="AQ111" s="101">
        <v>40300</v>
      </c>
      <c r="AR111" s="101">
        <v>40300</v>
      </c>
      <c r="AS111" s="101">
        <v>40300</v>
      </c>
      <c r="AT111" s="101">
        <v>40300</v>
      </c>
      <c r="AU111" s="101">
        <v>40300</v>
      </c>
    </row>
    <row r="112" spans="1:47">
      <c r="A112" t="str">
        <f>IF('Plant Data'!A112="","",'Plant Data'!A112)</f>
        <v>ANDAasd51</v>
      </c>
      <c r="B112" s="101">
        <v>40300</v>
      </c>
      <c r="C112" s="101">
        <v>40300</v>
      </c>
      <c r="D112" s="101">
        <v>40300</v>
      </c>
      <c r="E112" s="101">
        <v>40300</v>
      </c>
      <c r="F112" s="101">
        <v>40300</v>
      </c>
      <c r="G112" s="101">
        <v>40300</v>
      </c>
      <c r="H112" s="101">
        <v>40300</v>
      </c>
      <c r="I112" s="101">
        <v>40300</v>
      </c>
      <c r="J112" s="101">
        <v>40300</v>
      </c>
      <c r="K112" s="101">
        <v>40300</v>
      </c>
      <c r="L112" s="101">
        <v>40300</v>
      </c>
      <c r="M112" s="101">
        <v>40300</v>
      </c>
      <c r="N112" s="101">
        <v>40300</v>
      </c>
      <c r="O112" s="101">
        <v>40300</v>
      </c>
      <c r="P112" s="101">
        <v>40300</v>
      </c>
      <c r="Q112" s="101">
        <v>40300</v>
      </c>
      <c r="R112" s="101">
        <v>40300</v>
      </c>
      <c r="S112" s="101">
        <v>40300</v>
      </c>
      <c r="T112" s="101">
        <v>40300</v>
      </c>
      <c r="U112" s="101">
        <v>40300</v>
      </c>
      <c r="V112" s="101">
        <v>40300</v>
      </c>
      <c r="W112" s="101">
        <v>40300</v>
      </c>
      <c r="X112" s="101">
        <v>40300</v>
      </c>
      <c r="Y112" s="101">
        <v>40300</v>
      </c>
      <c r="Z112" s="101">
        <v>40300</v>
      </c>
      <c r="AA112" s="101">
        <v>40300</v>
      </c>
      <c r="AB112" s="101">
        <v>40300</v>
      </c>
      <c r="AC112" s="101">
        <v>40300</v>
      </c>
      <c r="AD112" s="101">
        <v>40300</v>
      </c>
      <c r="AE112" s="101">
        <v>40300</v>
      </c>
      <c r="AF112" s="101">
        <v>40300</v>
      </c>
      <c r="AG112" s="101">
        <v>40300</v>
      </c>
      <c r="AH112" s="101">
        <v>40300</v>
      </c>
      <c r="AI112" s="101">
        <v>40300</v>
      </c>
      <c r="AJ112" s="101">
        <v>40300</v>
      </c>
      <c r="AK112" s="101">
        <v>40300</v>
      </c>
      <c r="AL112" s="101">
        <v>40300</v>
      </c>
      <c r="AM112" s="101">
        <v>40300</v>
      </c>
      <c r="AN112" s="101">
        <v>40300</v>
      </c>
      <c r="AO112" s="101">
        <v>40300</v>
      </c>
      <c r="AP112" s="101">
        <v>40300</v>
      </c>
      <c r="AQ112" s="101">
        <v>40300</v>
      </c>
      <c r="AR112" s="101">
        <v>40300</v>
      </c>
      <c r="AS112" s="101">
        <v>40300</v>
      </c>
      <c r="AT112" s="101">
        <v>40300</v>
      </c>
      <c r="AU112" s="101">
        <v>40300</v>
      </c>
    </row>
    <row r="113" spans="1:47">
      <c r="A113" t="str">
        <f>IF('Plant Data'!A113="","",'Plant Data'!A113)</f>
        <v>ANDAasd52</v>
      </c>
      <c r="B113" s="101">
        <v>40300</v>
      </c>
      <c r="C113" s="101">
        <v>40300</v>
      </c>
      <c r="D113" s="101">
        <v>40300</v>
      </c>
      <c r="E113" s="101">
        <v>40300</v>
      </c>
      <c r="F113" s="101">
        <v>40300</v>
      </c>
      <c r="G113" s="101">
        <v>40300</v>
      </c>
      <c r="H113" s="101">
        <v>40300</v>
      </c>
      <c r="I113" s="101">
        <v>40300</v>
      </c>
      <c r="J113" s="101">
        <v>40300</v>
      </c>
      <c r="K113" s="101">
        <v>40300</v>
      </c>
      <c r="L113" s="101">
        <v>40300</v>
      </c>
      <c r="M113" s="101">
        <v>40300</v>
      </c>
      <c r="N113" s="101">
        <v>40300</v>
      </c>
      <c r="O113" s="101">
        <v>40300</v>
      </c>
      <c r="P113" s="101">
        <v>40300</v>
      </c>
      <c r="Q113" s="101">
        <v>40300</v>
      </c>
      <c r="R113" s="101">
        <v>40300</v>
      </c>
      <c r="S113" s="101">
        <v>40300</v>
      </c>
      <c r="T113" s="101">
        <v>40300</v>
      </c>
      <c r="U113" s="101">
        <v>40300</v>
      </c>
      <c r="V113" s="101">
        <v>40300</v>
      </c>
      <c r="W113" s="101">
        <v>40300</v>
      </c>
      <c r="X113" s="101">
        <v>40300</v>
      </c>
      <c r="Y113" s="101">
        <v>40300</v>
      </c>
      <c r="Z113" s="101">
        <v>40300</v>
      </c>
      <c r="AA113" s="101">
        <v>40300</v>
      </c>
      <c r="AB113" s="101">
        <v>40300</v>
      </c>
      <c r="AC113" s="101">
        <v>40300</v>
      </c>
      <c r="AD113" s="101">
        <v>40300</v>
      </c>
      <c r="AE113" s="101">
        <v>40300</v>
      </c>
      <c r="AF113" s="101">
        <v>40300</v>
      </c>
      <c r="AG113" s="101">
        <v>40300</v>
      </c>
      <c r="AH113" s="101">
        <v>40300</v>
      </c>
      <c r="AI113" s="101">
        <v>40300</v>
      </c>
      <c r="AJ113" s="101">
        <v>40300</v>
      </c>
      <c r="AK113" s="101">
        <v>40300</v>
      </c>
      <c r="AL113" s="101">
        <v>40300</v>
      </c>
      <c r="AM113" s="101">
        <v>40300</v>
      </c>
      <c r="AN113" s="101">
        <v>40300</v>
      </c>
      <c r="AO113" s="101">
        <v>40300</v>
      </c>
      <c r="AP113" s="101">
        <v>40300</v>
      </c>
      <c r="AQ113" s="101">
        <v>40300</v>
      </c>
      <c r="AR113" s="101">
        <v>40300</v>
      </c>
      <c r="AS113" s="101">
        <v>40300</v>
      </c>
      <c r="AT113" s="101">
        <v>40300</v>
      </c>
      <c r="AU113" s="101">
        <v>40300</v>
      </c>
    </row>
    <row r="114" spans="1:47">
      <c r="A114" t="str">
        <f>IF('Plant Data'!A114="","",'Plant Data'!A114)</f>
        <v>ANDAasd53</v>
      </c>
      <c r="B114" s="101">
        <v>40300</v>
      </c>
      <c r="C114" s="101">
        <v>40300</v>
      </c>
      <c r="D114" s="101">
        <v>40300</v>
      </c>
      <c r="E114" s="101">
        <v>40300</v>
      </c>
      <c r="F114" s="101">
        <v>40300</v>
      </c>
      <c r="G114" s="101">
        <v>40300</v>
      </c>
      <c r="H114" s="101">
        <v>40300</v>
      </c>
      <c r="I114" s="101">
        <v>40300</v>
      </c>
      <c r="J114" s="101">
        <v>40300</v>
      </c>
      <c r="K114" s="101">
        <v>40300</v>
      </c>
      <c r="L114" s="101">
        <v>40300</v>
      </c>
      <c r="M114" s="101">
        <v>40300</v>
      </c>
      <c r="N114" s="101">
        <v>40300</v>
      </c>
      <c r="O114" s="101">
        <v>40300</v>
      </c>
      <c r="P114" s="101">
        <v>40300</v>
      </c>
      <c r="Q114" s="101">
        <v>40300</v>
      </c>
      <c r="R114" s="101">
        <v>40300</v>
      </c>
      <c r="S114" s="101">
        <v>40300</v>
      </c>
      <c r="T114" s="101">
        <v>40300</v>
      </c>
      <c r="U114" s="101">
        <v>40300</v>
      </c>
      <c r="V114" s="101">
        <v>40300</v>
      </c>
      <c r="W114" s="101">
        <v>40300</v>
      </c>
      <c r="X114" s="101">
        <v>40300</v>
      </c>
      <c r="Y114" s="101">
        <v>40300</v>
      </c>
      <c r="Z114" s="101">
        <v>40300</v>
      </c>
      <c r="AA114" s="101">
        <v>40300</v>
      </c>
      <c r="AB114" s="101">
        <v>40300</v>
      </c>
      <c r="AC114" s="101">
        <v>40300</v>
      </c>
      <c r="AD114" s="101">
        <v>40300</v>
      </c>
      <c r="AE114" s="101">
        <v>40300</v>
      </c>
      <c r="AF114" s="101">
        <v>40300</v>
      </c>
      <c r="AG114" s="101">
        <v>40300</v>
      </c>
      <c r="AH114" s="101">
        <v>40300</v>
      </c>
      <c r="AI114" s="101">
        <v>40300</v>
      </c>
      <c r="AJ114" s="101">
        <v>40300</v>
      </c>
      <c r="AK114" s="101">
        <v>40300</v>
      </c>
      <c r="AL114" s="101">
        <v>40300</v>
      </c>
      <c r="AM114" s="101">
        <v>40300</v>
      </c>
      <c r="AN114" s="101">
        <v>40300</v>
      </c>
      <c r="AO114" s="101">
        <v>40300</v>
      </c>
      <c r="AP114" s="101">
        <v>40300</v>
      </c>
      <c r="AQ114" s="101">
        <v>40300</v>
      </c>
      <c r="AR114" s="101">
        <v>40300</v>
      </c>
      <c r="AS114" s="101">
        <v>40300</v>
      </c>
      <c r="AT114" s="101">
        <v>40300</v>
      </c>
      <c r="AU114" s="101">
        <v>40300</v>
      </c>
    </row>
    <row r="115" spans="1:47">
      <c r="A115" t="str">
        <f>IF('Plant Data'!A115="","",'Plant Data'!A115)</f>
        <v>ANDAasd54</v>
      </c>
      <c r="B115" s="101">
        <v>40300</v>
      </c>
      <c r="C115" s="101">
        <v>40300</v>
      </c>
      <c r="D115" s="101">
        <v>40300</v>
      </c>
      <c r="E115" s="101">
        <v>40300</v>
      </c>
      <c r="F115" s="101">
        <v>40300</v>
      </c>
      <c r="G115" s="101">
        <v>40300</v>
      </c>
      <c r="H115" s="101">
        <v>40300</v>
      </c>
      <c r="I115" s="101">
        <v>40300</v>
      </c>
      <c r="J115" s="101">
        <v>40300</v>
      </c>
      <c r="K115" s="101">
        <v>40300</v>
      </c>
      <c r="L115" s="101">
        <v>40300</v>
      </c>
      <c r="M115" s="101">
        <v>40300</v>
      </c>
      <c r="N115" s="101">
        <v>40300</v>
      </c>
      <c r="O115" s="101">
        <v>40300</v>
      </c>
      <c r="P115" s="101">
        <v>40300</v>
      </c>
      <c r="Q115" s="101">
        <v>40300</v>
      </c>
      <c r="R115" s="101">
        <v>40300</v>
      </c>
      <c r="S115" s="101">
        <v>40300</v>
      </c>
      <c r="T115" s="101">
        <v>40300</v>
      </c>
      <c r="U115" s="101">
        <v>40300</v>
      </c>
      <c r="V115" s="101">
        <v>40300</v>
      </c>
      <c r="W115" s="101">
        <v>40300</v>
      </c>
      <c r="X115" s="101">
        <v>40300</v>
      </c>
      <c r="Y115" s="101">
        <v>40300</v>
      </c>
      <c r="Z115" s="101">
        <v>40300</v>
      </c>
      <c r="AA115" s="101">
        <v>40300</v>
      </c>
      <c r="AB115" s="101">
        <v>40300</v>
      </c>
      <c r="AC115" s="101">
        <v>40300</v>
      </c>
      <c r="AD115" s="101">
        <v>40300</v>
      </c>
      <c r="AE115" s="101">
        <v>40300</v>
      </c>
      <c r="AF115" s="101">
        <v>40300</v>
      </c>
      <c r="AG115" s="101">
        <v>40300</v>
      </c>
      <c r="AH115" s="101">
        <v>40300</v>
      </c>
      <c r="AI115" s="101">
        <v>40300</v>
      </c>
      <c r="AJ115" s="101">
        <v>40300</v>
      </c>
      <c r="AK115" s="101">
        <v>40300</v>
      </c>
      <c r="AL115" s="101">
        <v>40300</v>
      </c>
      <c r="AM115" s="101">
        <v>40300</v>
      </c>
      <c r="AN115" s="101">
        <v>40300</v>
      </c>
      <c r="AO115" s="101">
        <v>40300</v>
      </c>
      <c r="AP115" s="101">
        <v>40300</v>
      </c>
      <c r="AQ115" s="101">
        <v>40300</v>
      </c>
      <c r="AR115" s="101">
        <v>40300</v>
      </c>
      <c r="AS115" s="101">
        <v>40300</v>
      </c>
      <c r="AT115" s="101">
        <v>40300</v>
      </c>
      <c r="AU115" s="101">
        <v>40300</v>
      </c>
    </row>
    <row r="116" spans="1:47">
      <c r="A116" t="str">
        <f>IF('Plant Data'!A116="","",'Plant Data'!A116)</f>
        <v>ANDAasd55</v>
      </c>
      <c r="B116" s="101">
        <v>40300</v>
      </c>
      <c r="C116" s="101">
        <v>40300</v>
      </c>
      <c r="D116" s="101">
        <v>40300</v>
      </c>
      <c r="E116" s="101">
        <v>40300</v>
      </c>
      <c r="F116" s="101">
        <v>40300</v>
      </c>
      <c r="G116" s="101">
        <v>40300</v>
      </c>
      <c r="H116" s="101">
        <v>40300</v>
      </c>
      <c r="I116" s="101">
        <v>40300</v>
      </c>
      <c r="J116" s="101">
        <v>40300</v>
      </c>
      <c r="K116" s="101">
        <v>40300</v>
      </c>
      <c r="L116" s="101">
        <v>40300</v>
      </c>
      <c r="M116" s="101">
        <v>40300</v>
      </c>
      <c r="N116" s="101">
        <v>40300</v>
      </c>
      <c r="O116" s="101">
        <v>40300</v>
      </c>
      <c r="P116" s="101">
        <v>40300</v>
      </c>
      <c r="Q116" s="101">
        <v>40300</v>
      </c>
      <c r="R116" s="101">
        <v>40300</v>
      </c>
      <c r="S116" s="101">
        <v>40300</v>
      </c>
      <c r="T116" s="101">
        <v>40300</v>
      </c>
      <c r="U116" s="101">
        <v>40300</v>
      </c>
      <c r="V116" s="101">
        <v>40300</v>
      </c>
      <c r="W116" s="101">
        <v>40300</v>
      </c>
      <c r="X116" s="101">
        <v>40300</v>
      </c>
      <c r="Y116" s="101">
        <v>40300</v>
      </c>
      <c r="Z116" s="101">
        <v>40300</v>
      </c>
      <c r="AA116" s="101">
        <v>40300</v>
      </c>
      <c r="AB116" s="101">
        <v>40300</v>
      </c>
      <c r="AC116" s="101">
        <v>40300</v>
      </c>
      <c r="AD116" s="101">
        <v>40300</v>
      </c>
      <c r="AE116" s="101">
        <v>40300</v>
      </c>
      <c r="AF116" s="101">
        <v>40300</v>
      </c>
      <c r="AG116" s="101">
        <v>40300</v>
      </c>
      <c r="AH116" s="101">
        <v>40300</v>
      </c>
      <c r="AI116" s="101">
        <v>40300</v>
      </c>
      <c r="AJ116" s="101">
        <v>40300</v>
      </c>
      <c r="AK116" s="101">
        <v>40300</v>
      </c>
      <c r="AL116" s="101">
        <v>40300</v>
      </c>
      <c r="AM116" s="101">
        <v>40300</v>
      </c>
      <c r="AN116" s="101">
        <v>40300</v>
      </c>
      <c r="AO116" s="101">
        <v>40300</v>
      </c>
      <c r="AP116" s="101">
        <v>40300</v>
      </c>
      <c r="AQ116" s="101">
        <v>40300</v>
      </c>
      <c r="AR116" s="101">
        <v>40300</v>
      </c>
      <c r="AS116" s="101">
        <v>40300</v>
      </c>
      <c r="AT116" s="101">
        <v>40300</v>
      </c>
      <c r="AU116" s="101">
        <v>40300</v>
      </c>
    </row>
    <row r="117" spans="1:47">
      <c r="A117" t="str">
        <f>IF('Plant Data'!A117="","",'Plant Data'!A117)</f>
        <v>ANDAasd56</v>
      </c>
      <c r="B117" s="101">
        <v>40300</v>
      </c>
      <c r="C117" s="101">
        <v>40300</v>
      </c>
      <c r="D117" s="101">
        <v>40300</v>
      </c>
      <c r="E117" s="101">
        <v>40300</v>
      </c>
      <c r="F117" s="101">
        <v>40300</v>
      </c>
      <c r="G117" s="101">
        <v>40300</v>
      </c>
      <c r="H117" s="101">
        <v>40300</v>
      </c>
      <c r="I117" s="101">
        <v>40300</v>
      </c>
      <c r="J117" s="101">
        <v>40300</v>
      </c>
      <c r="K117" s="101">
        <v>40300</v>
      </c>
      <c r="L117" s="101">
        <v>40300</v>
      </c>
      <c r="M117" s="101">
        <v>40300</v>
      </c>
      <c r="N117" s="101">
        <v>40300</v>
      </c>
      <c r="O117" s="101">
        <v>40300</v>
      </c>
      <c r="P117" s="101">
        <v>40300</v>
      </c>
      <c r="Q117" s="101">
        <v>40300</v>
      </c>
      <c r="R117" s="101">
        <v>40300</v>
      </c>
      <c r="S117" s="101">
        <v>40300</v>
      </c>
      <c r="T117" s="101">
        <v>40300</v>
      </c>
      <c r="U117" s="101">
        <v>40300</v>
      </c>
      <c r="V117" s="101">
        <v>40300</v>
      </c>
      <c r="W117" s="101">
        <v>40300</v>
      </c>
      <c r="X117" s="101">
        <v>40300</v>
      </c>
      <c r="Y117" s="101">
        <v>40300</v>
      </c>
      <c r="Z117" s="101">
        <v>40300</v>
      </c>
      <c r="AA117" s="101">
        <v>40300</v>
      </c>
      <c r="AB117" s="101">
        <v>40300</v>
      </c>
      <c r="AC117" s="101">
        <v>40300</v>
      </c>
      <c r="AD117" s="101">
        <v>40300</v>
      </c>
      <c r="AE117" s="101">
        <v>40300</v>
      </c>
      <c r="AF117" s="101">
        <v>40300</v>
      </c>
      <c r="AG117" s="101">
        <v>40300</v>
      </c>
      <c r="AH117" s="101">
        <v>40300</v>
      </c>
      <c r="AI117" s="101">
        <v>40300</v>
      </c>
      <c r="AJ117" s="101">
        <v>40300</v>
      </c>
      <c r="AK117" s="101">
        <v>40300</v>
      </c>
      <c r="AL117" s="101">
        <v>40300</v>
      </c>
      <c r="AM117" s="101">
        <v>40300</v>
      </c>
      <c r="AN117" s="101">
        <v>40300</v>
      </c>
      <c r="AO117" s="101">
        <v>40300</v>
      </c>
      <c r="AP117" s="101">
        <v>40300</v>
      </c>
      <c r="AQ117" s="101">
        <v>40300</v>
      </c>
      <c r="AR117" s="101">
        <v>40300</v>
      </c>
      <c r="AS117" s="101">
        <v>40300</v>
      </c>
      <c r="AT117" s="101">
        <v>40300</v>
      </c>
      <c r="AU117" s="101">
        <v>40300</v>
      </c>
    </row>
    <row r="118" spans="1:47">
      <c r="A118" t="str">
        <f>IF('Plant Data'!A118="","",'Plant Data'!A118)</f>
        <v>ANDAasd57</v>
      </c>
      <c r="B118" s="101">
        <v>40300</v>
      </c>
      <c r="C118" s="101">
        <v>40300</v>
      </c>
      <c r="D118" s="101">
        <v>40300</v>
      </c>
      <c r="E118" s="101">
        <v>40300</v>
      </c>
      <c r="F118" s="101">
        <v>40300</v>
      </c>
      <c r="G118" s="101">
        <v>40300</v>
      </c>
      <c r="H118" s="101">
        <v>40300</v>
      </c>
      <c r="I118" s="101">
        <v>40300</v>
      </c>
      <c r="J118" s="101">
        <v>40300</v>
      </c>
      <c r="K118" s="101">
        <v>40300</v>
      </c>
      <c r="L118" s="101">
        <v>40300</v>
      </c>
      <c r="M118" s="101">
        <v>40300</v>
      </c>
      <c r="N118" s="101">
        <v>40300</v>
      </c>
      <c r="O118" s="101">
        <v>40300</v>
      </c>
      <c r="P118" s="101">
        <v>40300</v>
      </c>
      <c r="Q118" s="101">
        <v>40300</v>
      </c>
      <c r="R118" s="101">
        <v>40300</v>
      </c>
      <c r="S118" s="101">
        <v>40300</v>
      </c>
      <c r="T118" s="101">
        <v>40300</v>
      </c>
      <c r="U118" s="101">
        <v>40300</v>
      </c>
      <c r="V118" s="101">
        <v>40300</v>
      </c>
      <c r="W118" s="101">
        <v>40300</v>
      </c>
      <c r="X118" s="101">
        <v>40300</v>
      </c>
      <c r="Y118" s="101">
        <v>40300</v>
      </c>
      <c r="Z118" s="101">
        <v>40300</v>
      </c>
      <c r="AA118" s="101">
        <v>40300</v>
      </c>
      <c r="AB118" s="101">
        <v>40300</v>
      </c>
      <c r="AC118" s="101">
        <v>40300</v>
      </c>
      <c r="AD118" s="101">
        <v>40300</v>
      </c>
      <c r="AE118" s="101">
        <v>40300</v>
      </c>
      <c r="AF118" s="101">
        <v>40300</v>
      </c>
      <c r="AG118" s="101">
        <v>40300</v>
      </c>
      <c r="AH118" s="101">
        <v>40300</v>
      </c>
      <c r="AI118" s="101">
        <v>40300</v>
      </c>
      <c r="AJ118" s="101">
        <v>40300</v>
      </c>
      <c r="AK118" s="101">
        <v>40300</v>
      </c>
      <c r="AL118" s="101">
        <v>40300</v>
      </c>
      <c r="AM118" s="101">
        <v>40300</v>
      </c>
      <c r="AN118" s="101">
        <v>40300</v>
      </c>
      <c r="AO118" s="101">
        <v>40300</v>
      </c>
      <c r="AP118" s="101">
        <v>40300</v>
      </c>
      <c r="AQ118" s="101">
        <v>40300</v>
      </c>
      <c r="AR118" s="101">
        <v>40300</v>
      </c>
      <c r="AS118" s="101">
        <v>40300</v>
      </c>
      <c r="AT118" s="101">
        <v>40300</v>
      </c>
      <c r="AU118" s="101">
        <v>40300</v>
      </c>
    </row>
    <row r="119" spans="1:47">
      <c r="A119" t="str">
        <f>IF('Plant Data'!A119="","",'Plant Data'!A119)</f>
        <v>ANDAasd58</v>
      </c>
      <c r="B119" s="101">
        <v>40300</v>
      </c>
      <c r="C119" s="101">
        <v>40300</v>
      </c>
      <c r="D119" s="101">
        <v>40300</v>
      </c>
      <c r="E119" s="101">
        <v>40300</v>
      </c>
      <c r="F119" s="101">
        <v>40300</v>
      </c>
      <c r="G119" s="101">
        <v>40300</v>
      </c>
      <c r="H119" s="101">
        <v>40300</v>
      </c>
      <c r="I119" s="101">
        <v>40300</v>
      </c>
      <c r="J119" s="101">
        <v>40300</v>
      </c>
      <c r="K119" s="101">
        <v>40300</v>
      </c>
      <c r="L119" s="101">
        <v>40300</v>
      </c>
      <c r="M119" s="101">
        <v>40300</v>
      </c>
      <c r="N119" s="101">
        <v>40300</v>
      </c>
      <c r="O119" s="101">
        <v>40300</v>
      </c>
      <c r="P119" s="101">
        <v>40300</v>
      </c>
      <c r="Q119" s="101">
        <v>40300</v>
      </c>
      <c r="R119" s="101">
        <v>40300</v>
      </c>
      <c r="S119" s="101">
        <v>40300</v>
      </c>
      <c r="T119" s="101">
        <v>40300</v>
      </c>
      <c r="U119" s="101">
        <v>40300</v>
      </c>
      <c r="V119" s="101">
        <v>40300</v>
      </c>
      <c r="W119" s="101">
        <v>40300</v>
      </c>
      <c r="X119" s="101">
        <v>40300</v>
      </c>
      <c r="Y119" s="101">
        <v>40300</v>
      </c>
      <c r="Z119" s="101">
        <v>40300</v>
      </c>
      <c r="AA119" s="101">
        <v>40300</v>
      </c>
      <c r="AB119" s="101">
        <v>40300</v>
      </c>
      <c r="AC119" s="101">
        <v>40300</v>
      </c>
      <c r="AD119" s="101">
        <v>40300</v>
      </c>
      <c r="AE119" s="101">
        <v>40300</v>
      </c>
      <c r="AF119" s="101">
        <v>40300</v>
      </c>
      <c r="AG119" s="101">
        <v>40300</v>
      </c>
      <c r="AH119" s="101">
        <v>40300</v>
      </c>
      <c r="AI119" s="101">
        <v>40300</v>
      </c>
      <c r="AJ119" s="101">
        <v>40300</v>
      </c>
      <c r="AK119" s="101">
        <v>40300</v>
      </c>
      <c r="AL119" s="101">
        <v>40300</v>
      </c>
      <c r="AM119" s="101">
        <v>40300</v>
      </c>
      <c r="AN119" s="101">
        <v>40300</v>
      </c>
      <c r="AO119" s="101">
        <v>40300</v>
      </c>
      <c r="AP119" s="101">
        <v>40300</v>
      </c>
      <c r="AQ119" s="101">
        <v>40300</v>
      </c>
      <c r="AR119" s="101">
        <v>40300</v>
      </c>
      <c r="AS119" s="101">
        <v>40300</v>
      </c>
      <c r="AT119" s="101">
        <v>40300</v>
      </c>
      <c r="AU119" s="101">
        <v>40300</v>
      </c>
    </row>
    <row r="120" spans="1:47">
      <c r="A120" t="str">
        <f>IF('Plant Data'!A120="","",'Plant Data'!A120)</f>
        <v/>
      </c>
      <c r="B120" s="50">
        <f>('Plant Data'!C120*0.85*8760)</f>
        <v>0</v>
      </c>
    </row>
    <row r="121" spans="1:47">
      <c r="A121" t="str">
        <f>IF('Plant Data'!A121="","",'Plant Data'!A121)</f>
        <v/>
      </c>
      <c r="B121" s="50">
        <f>('Plant Data'!C121*0.85*8760)</f>
        <v>0</v>
      </c>
    </row>
    <row r="122" spans="1:47">
      <c r="A122" t="str">
        <f>IF('Plant Data'!A122="","",'Plant Data'!A122)</f>
        <v/>
      </c>
      <c r="B122" s="50">
        <f>('Plant Data'!C122*0.85*8760)</f>
        <v>0</v>
      </c>
    </row>
    <row r="123" spans="1:47">
      <c r="A123" t="str">
        <f>IF('Plant Data'!A123="","",'Plant Data'!A123)</f>
        <v/>
      </c>
      <c r="B123" s="50">
        <f>('Plant Data'!C123*0.85*8760)</f>
        <v>0</v>
      </c>
    </row>
    <row r="124" spans="1:47">
      <c r="A124" t="str">
        <f>IF('Plant Data'!A124="","",'Plant Data'!A124)</f>
        <v/>
      </c>
      <c r="B124" s="50">
        <f>('Plant Data'!C124*0.85*8760)</f>
        <v>0</v>
      </c>
    </row>
    <row r="125" spans="1:47">
      <c r="A125" t="str">
        <f>IF('Plant Data'!A125="","",'Plant Data'!A125)</f>
        <v/>
      </c>
      <c r="B125" s="50">
        <f>('Plant Data'!C125*0.85*8760)</f>
        <v>0</v>
      </c>
    </row>
    <row r="126" spans="1:47">
      <c r="A126" t="str">
        <f>IF('Plant Data'!A126="","",'Plant Data'!A126)</f>
        <v/>
      </c>
      <c r="B126" s="50">
        <f>('Plant Data'!C126*0.85*8760)</f>
        <v>0</v>
      </c>
    </row>
    <row r="127" spans="1:47">
      <c r="A127" t="str">
        <f>IF('Plant Data'!A127="","",'Plant Data'!A127)</f>
        <v/>
      </c>
      <c r="B127" s="50">
        <f>('Plant Data'!C127*0.85*8760)</f>
        <v>0</v>
      </c>
    </row>
    <row r="128" spans="1:47">
      <c r="A128" t="str">
        <f>IF('Plant Data'!A128="","",'Plant Data'!A128)</f>
        <v/>
      </c>
      <c r="B128" s="50">
        <f>('Plant Data'!C128*0.85*8760)</f>
        <v>0</v>
      </c>
    </row>
    <row r="129" spans="1:2">
      <c r="A129" t="str">
        <f>IF('Plant Data'!A129="","",'Plant Data'!A129)</f>
        <v/>
      </c>
      <c r="B129" s="50">
        <f>('Plant Data'!C129*0.85*8760)</f>
        <v>0</v>
      </c>
    </row>
    <row r="130" spans="1:2">
      <c r="A130" t="str">
        <f>IF('Plant Data'!A130="","",'Plant Data'!A130)</f>
        <v/>
      </c>
      <c r="B130" s="50">
        <f>('Plant Data'!C130*0.85*8760)</f>
        <v>0</v>
      </c>
    </row>
    <row r="131" spans="1:2">
      <c r="A131" t="str">
        <f>IF('Plant Data'!A131="","",'Plant Data'!A131)</f>
        <v/>
      </c>
      <c r="B131" s="50">
        <f>('Plant Data'!C131*0.85*8760)</f>
        <v>0</v>
      </c>
    </row>
    <row r="132" spans="1:2">
      <c r="A132" t="str">
        <f>IF('Plant Data'!A132="","",'Plant Data'!A132)</f>
        <v/>
      </c>
      <c r="B132" s="50">
        <f>('Plant Data'!C132*0.85*8760)</f>
        <v>0</v>
      </c>
    </row>
    <row r="133" spans="1:2">
      <c r="A133" t="str">
        <f>IF('Plant Data'!A133="","",'Plant Data'!A133)</f>
        <v/>
      </c>
      <c r="B133" s="50">
        <f>('Plant Data'!C133*0.85*8760)</f>
        <v>0</v>
      </c>
    </row>
    <row r="134" spans="1:2">
      <c r="A134" t="str">
        <f>IF('Plant Data'!A134="","",'Plant Data'!A134)</f>
        <v/>
      </c>
      <c r="B134" s="50">
        <f>('Plant Data'!C134*0.85*8760)</f>
        <v>0</v>
      </c>
    </row>
    <row r="135" spans="1:2">
      <c r="A135" t="str">
        <f>IF('Plant Data'!A135="","",'Plant Data'!A135)</f>
        <v/>
      </c>
      <c r="B135" s="50">
        <f>('Plant Data'!C135*0.85*8760)</f>
        <v>0</v>
      </c>
    </row>
    <row r="136" spans="1:2">
      <c r="A136" t="str">
        <f>IF('Plant Data'!A136="","",'Plant Data'!A136)</f>
        <v/>
      </c>
      <c r="B136" s="50">
        <f>('Plant Data'!C136*0.85*8760)</f>
        <v>0</v>
      </c>
    </row>
    <row r="137" spans="1:2">
      <c r="A137" t="str">
        <f>IF('Plant Data'!A137="","",'Plant Data'!A137)</f>
        <v/>
      </c>
      <c r="B137" s="50">
        <f>('Plant Data'!C137*0.85*8760)</f>
        <v>0</v>
      </c>
    </row>
    <row r="138" spans="1:2">
      <c r="A138" t="str">
        <f>IF('Plant Data'!A138="","",'Plant Data'!A138)</f>
        <v/>
      </c>
      <c r="B138" s="50">
        <f>('Plant Data'!C138*0.85*8760)</f>
        <v>0</v>
      </c>
    </row>
    <row r="139" spans="1:2">
      <c r="A139" t="str">
        <f>IF('Plant Data'!A139="","",'Plant Data'!A139)</f>
        <v/>
      </c>
      <c r="B139" s="50">
        <f>('Plant Data'!C139*0.85*8760)</f>
        <v>0</v>
      </c>
    </row>
    <row r="140" spans="1:2">
      <c r="A140" t="str">
        <f>IF('Plant Data'!A140="","",'Plant Data'!A140)</f>
        <v/>
      </c>
      <c r="B140" s="50">
        <f>('Plant Data'!C140*0.85*8760)</f>
        <v>0</v>
      </c>
    </row>
    <row r="141" spans="1:2">
      <c r="A141" t="str">
        <f>IF('Plant Data'!A141="","",'Plant Data'!A141)</f>
        <v/>
      </c>
      <c r="B141" s="50">
        <f>('Plant Data'!C141*0.85*8760)</f>
        <v>0</v>
      </c>
    </row>
    <row r="142" spans="1:2">
      <c r="A142" t="str">
        <f>IF('Plant Data'!A142="","",'Plant Data'!A142)</f>
        <v/>
      </c>
      <c r="B142" s="50">
        <f>('Plant Data'!C142*0.85*8760)</f>
        <v>0</v>
      </c>
    </row>
    <row r="143" spans="1:2">
      <c r="A143" t="str">
        <f>IF('Plant Data'!A143="","",'Plant Data'!A143)</f>
        <v/>
      </c>
      <c r="B143" s="50">
        <f>('Plant Data'!C143*0.85*8760)</f>
        <v>0</v>
      </c>
    </row>
    <row r="144" spans="1:2">
      <c r="A144" t="str">
        <f>IF('Plant Data'!A144="","",'Plant Data'!A144)</f>
        <v/>
      </c>
      <c r="B144" s="50">
        <f>('Plant Data'!C144*0.85*8760)</f>
        <v>0</v>
      </c>
    </row>
    <row r="145" spans="1:2">
      <c r="A145" t="str">
        <f>IF('Plant Data'!A145="","",'Plant Data'!A145)</f>
        <v/>
      </c>
      <c r="B145" s="50">
        <f>('Plant Data'!C145*0.85*8760)</f>
        <v>0</v>
      </c>
    </row>
    <row r="146" spans="1:2">
      <c r="A146" t="str">
        <f>IF('Plant Data'!A146="","",'Plant Data'!A146)</f>
        <v/>
      </c>
      <c r="B146" s="50">
        <f>('Plant Data'!C146*0.85*8760)</f>
        <v>0</v>
      </c>
    </row>
    <row r="147" spans="1:2">
      <c r="A147" t="str">
        <f>IF('Plant Data'!A147="","",'Plant Data'!A147)</f>
        <v/>
      </c>
      <c r="B147" s="50">
        <f>('Plant Data'!C147*0.85*8760)</f>
        <v>0</v>
      </c>
    </row>
    <row r="148" spans="1:2">
      <c r="A148" t="str">
        <f>IF('Plant Data'!A148="","",'Plant Data'!A148)</f>
        <v/>
      </c>
      <c r="B148" s="50">
        <f>('Plant Data'!C148*0.85*8760)</f>
        <v>0</v>
      </c>
    </row>
    <row r="149" spans="1:2">
      <c r="A149" t="str">
        <f>IF('Plant Data'!A149="","",'Plant Data'!A149)</f>
        <v/>
      </c>
      <c r="B149" s="50">
        <f>('Plant Data'!C149*0.85*8760)</f>
        <v>0</v>
      </c>
    </row>
    <row r="150" spans="1:2">
      <c r="A150" t="str">
        <f>IF('Plant Data'!A150="","",'Plant Data'!A150)</f>
        <v/>
      </c>
      <c r="B150" s="50">
        <f>('Plant Data'!C150*0.85*8760)</f>
        <v>0</v>
      </c>
    </row>
    <row r="151" spans="1:2">
      <c r="A151" t="str">
        <f>IF('Plant Data'!A151="","",'Plant Data'!A151)</f>
        <v/>
      </c>
      <c r="B151" s="50">
        <f>('Plant Data'!C151*0.85*8760)</f>
        <v>0</v>
      </c>
    </row>
    <row r="152" spans="1:2">
      <c r="A152" t="str">
        <f>IF('Plant Data'!A152="","",'Plant Data'!A152)</f>
        <v/>
      </c>
      <c r="B152" s="50">
        <f>('Plant Data'!C152*0.85*8760)</f>
        <v>0</v>
      </c>
    </row>
    <row r="153" spans="1:2">
      <c r="A153" t="str">
        <f>IF('Plant Data'!A153="","",'Plant Data'!A153)</f>
        <v/>
      </c>
      <c r="B153" s="50">
        <f>('Plant Data'!C153*0.85*8760)</f>
        <v>0</v>
      </c>
    </row>
    <row r="154" spans="1:2">
      <c r="A154" t="str">
        <f>IF('Plant Data'!A154="","",'Plant Data'!A154)</f>
        <v/>
      </c>
      <c r="B154" s="50">
        <f>('Plant Data'!C154*0.85*8760)</f>
        <v>0</v>
      </c>
    </row>
    <row r="155" spans="1:2">
      <c r="A155" t="str">
        <f>IF('Plant Data'!A155="","",'Plant Data'!A155)</f>
        <v/>
      </c>
      <c r="B155" s="50">
        <f>('Plant Data'!C155*0.85*8760)</f>
        <v>0</v>
      </c>
    </row>
    <row r="156" spans="1:2">
      <c r="A156" t="str">
        <f>IF('Plant Data'!A156="","",'Plant Data'!A156)</f>
        <v/>
      </c>
      <c r="B156" s="50">
        <f>('Plant Data'!C156*0.85*8760)</f>
        <v>0</v>
      </c>
    </row>
    <row r="157" spans="1:2">
      <c r="A157" t="str">
        <f>IF('Plant Data'!A157="","",'Plant Data'!A157)</f>
        <v/>
      </c>
      <c r="B157" s="50">
        <f>('Plant Data'!C157*0.85*8760)</f>
        <v>0</v>
      </c>
    </row>
    <row r="158" spans="1:2">
      <c r="A158" t="str">
        <f>IF('Plant Data'!A158="","",'Plant Data'!A158)</f>
        <v/>
      </c>
      <c r="B158" s="50">
        <f>('Plant Data'!C158*0.85*8760)</f>
        <v>0</v>
      </c>
    </row>
    <row r="159" spans="1:2">
      <c r="A159" t="str">
        <f>IF('Plant Data'!A159="","",'Plant Data'!A159)</f>
        <v/>
      </c>
      <c r="B159" s="50">
        <f>('Plant Data'!C159*0.85*8760)</f>
        <v>0</v>
      </c>
    </row>
    <row r="160" spans="1:2">
      <c r="A160" t="str">
        <f>IF('Plant Data'!A160="","",'Plant Data'!A160)</f>
        <v/>
      </c>
      <c r="B160" s="50">
        <f>('Plant Data'!C160*0.85*8760)</f>
        <v>0</v>
      </c>
    </row>
    <row r="161" spans="1:2">
      <c r="A161" t="str">
        <f>IF('Plant Data'!A161="","",'Plant Data'!A161)</f>
        <v/>
      </c>
      <c r="B161" s="50">
        <f>('Plant Data'!C161*0.85*8760)</f>
        <v>0</v>
      </c>
    </row>
    <row r="162" spans="1:2">
      <c r="A162" t="str">
        <f>IF('Plant Data'!A162="","",'Plant Data'!A162)</f>
        <v/>
      </c>
      <c r="B162" s="50">
        <f>('Plant Data'!C162*0.85*8760)</f>
        <v>0</v>
      </c>
    </row>
    <row r="163" spans="1:2">
      <c r="A163" t="str">
        <f>IF('Plant Data'!A163="","",'Plant Data'!A163)</f>
        <v/>
      </c>
      <c r="B163" s="50">
        <f>('Plant Data'!C163*0.85*8760)</f>
        <v>0</v>
      </c>
    </row>
    <row r="164" spans="1:2">
      <c r="A164" t="str">
        <f>IF('Plant Data'!A164="","",'Plant Data'!A164)</f>
        <v/>
      </c>
      <c r="B164" s="50">
        <f>('Plant Data'!C164*0.85*8760)</f>
        <v>0</v>
      </c>
    </row>
    <row r="165" spans="1:2">
      <c r="A165" t="str">
        <f>IF('Plant Data'!A165="","",'Plant Data'!A165)</f>
        <v/>
      </c>
      <c r="B165" s="50">
        <f>('Plant Data'!C165*0.85*8760)</f>
        <v>0</v>
      </c>
    </row>
    <row r="166" spans="1:2">
      <c r="A166" t="str">
        <f>IF('Plant Data'!A166="","",'Plant Data'!A166)</f>
        <v/>
      </c>
      <c r="B166" s="50">
        <f>('Plant Data'!C166*0.85*8760)</f>
        <v>0</v>
      </c>
    </row>
    <row r="167" spans="1:2">
      <c r="A167" t="str">
        <f>IF('Plant Data'!A167="","",'Plant Data'!A167)</f>
        <v/>
      </c>
      <c r="B167" s="50">
        <f>('Plant Data'!C167*0.85*8760)</f>
        <v>0</v>
      </c>
    </row>
    <row r="168" spans="1:2">
      <c r="A168" t="str">
        <f>IF('Plant Data'!A168="","",'Plant Data'!A168)</f>
        <v/>
      </c>
      <c r="B168" s="50">
        <f>('Plant Data'!C168*0.85*8760)</f>
        <v>0</v>
      </c>
    </row>
    <row r="169" spans="1:2">
      <c r="A169" t="str">
        <f>IF('Plant Data'!A169="","",'Plant Data'!A169)</f>
        <v/>
      </c>
      <c r="B169" s="50">
        <f>('Plant Data'!C169*0.85*8760)</f>
        <v>0</v>
      </c>
    </row>
    <row r="170" spans="1:2">
      <c r="A170" t="str">
        <f>IF('Plant Data'!A170="","",'Plant Data'!A170)</f>
        <v/>
      </c>
      <c r="B170" s="50">
        <f>('Plant Data'!C170*0.85*8760)</f>
        <v>0</v>
      </c>
    </row>
    <row r="171" spans="1:2">
      <c r="A171" t="str">
        <f>IF('Plant Data'!A171="","",'Plant Data'!A171)</f>
        <v/>
      </c>
      <c r="B171" s="50">
        <f>('Plant Data'!C171*0.85*8760)</f>
        <v>0</v>
      </c>
    </row>
    <row r="172" spans="1:2">
      <c r="A172" t="str">
        <f>IF('Plant Data'!A172="","",'Plant Data'!A172)</f>
        <v/>
      </c>
      <c r="B172" s="50">
        <f>('Plant Data'!C172*0.85*8760)</f>
        <v>0</v>
      </c>
    </row>
    <row r="173" spans="1:2">
      <c r="A173" t="str">
        <f>IF('Plant Data'!A173="","",'Plant Data'!A173)</f>
        <v/>
      </c>
      <c r="B173" s="50">
        <f>('Plant Data'!C173*0.85*8760)</f>
        <v>0</v>
      </c>
    </row>
    <row r="174" spans="1:2">
      <c r="A174" t="str">
        <f>IF('Plant Data'!A174="","",'Plant Data'!A174)</f>
        <v/>
      </c>
      <c r="B174" s="50">
        <f>('Plant Data'!C174*0.85*8760)</f>
        <v>0</v>
      </c>
    </row>
    <row r="175" spans="1:2">
      <c r="A175" t="str">
        <f>IF('Plant Data'!A175="","",'Plant Data'!A175)</f>
        <v/>
      </c>
      <c r="B175" s="50">
        <f>('Plant Data'!C175*0.85*8760)</f>
        <v>0</v>
      </c>
    </row>
    <row r="176" spans="1:2">
      <c r="A176" t="str">
        <f>IF('Plant Data'!A176="","",'Plant Data'!A176)</f>
        <v/>
      </c>
      <c r="B176" s="50">
        <f>('Plant Data'!C176*0.85*8760)</f>
        <v>0</v>
      </c>
    </row>
    <row r="177" spans="1:2">
      <c r="A177" t="str">
        <f>IF('Plant Data'!A177="","",'Plant Data'!A177)</f>
        <v/>
      </c>
      <c r="B177" s="50">
        <f>('Plant Data'!C177*0.85*8760)</f>
        <v>0</v>
      </c>
    </row>
    <row r="178" spans="1:2">
      <c r="A178" t="str">
        <f>IF('Plant Data'!A178="","",'Plant Data'!A178)</f>
        <v/>
      </c>
      <c r="B178" s="50">
        <f>('Plant Data'!C178*0.85*8760)</f>
        <v>0</v>
      </c>
    </row>
    <row r="179" spans="1:2">
      <c r="A179" t="str">
        <f>IF('Plant Data'!A179="","",'Plant Data'!A179)</f>
        <v/>
      </c>
      <c r="B179" s="50">
        <f>('Plant Data'!C179*0.85*8760)</f>
        <v>0</v>
      </c>
    </row>
    <row r="180" spans="1:2">
      <c r="A180" t="str">
        <f>IF('Plant Data'!A180="","",'Plant Data'!A180)</f>
        <v/>
      </c>
      <c r="B180" s="50">
        <f>('Plant Data'!C180*0.85*8760)</f>
        <v>0</v>
      </c>
    </row>
    <row r="181" spans="1:2">
      <c r="A181" t="str">
        <f>IF('Plant Data'!A181="","",'Plant Data'!A181)</f>
        <v/>
      </c>
      <c r="B181" s="50">
        <f>('Plant Data'!C181*0.85*8760)</f>
        <v>0</v>
      </c>
    </row>
    <row r="182" spans="1:2">
      <c r="A182" t="str">
        <f>IF('Plant Data'!A182="","",'Plant Data'!A182)</f>
        <v/>
      </c>
      <c r="B182" s="50">
        <f>('Plant Data'!C182*0.85*8760)</f>
        <v>0</v>
      </c>
    </row>
    <row r="183" spans="1:2">
      <c r="A183" t="str">
        <f>IF('Plant Data'!A183="","",'Plant Data'!A183)</f>
        <v/>
      </c>
      <c r="B183" s="50">
        <f>('Plant Data'!C183*0.85*8760)</f>
        <v>0</v>
      </c>
    </row>
    <row r="184" spans="1:2">
      <c r="A184" t="str">
        <f>IF('Plant Data'!A184="","",'Plant Data'!A184)</f>
        <v/>
      </c>
      <c r="B184" s="50">
        <f>('Plant Data'!C184*0.85*8760)</f>
        <v>0</v>
      </c>
    </row>
    <row r="185" spans="1:2">
      <c r="A185" t="str">
        <f>IF('Plant Data'!A185="","",'Plant Data'!A185)</f>
        <v/>
      </c>
      <c r="B185" s="50">
        <f>('Plant Data'!C185*0.85*8760)</f>
        <v>0</v>
      </c>
    </row>
    <row r="186" spans="1:2">
      <c r="A186" t="str">
        <f>IF('Plant Data'!A186="","",'Plant Data'!A186)</f>
        <v/>
      </c>
      <c r="B186" s="50">
        <f>('Plant Data'!C186*0.85*8760)</f>
        <v>0</v>
      </c>
    </row>
    <row r="187" spans="1:2">
      <c r="A187" t="str">
        <f>IF('Plant Data'!A187="","",'Plant Data'!A187)</f>
        <v/>
      </c>
      <c r="B187" s="50">
        <f>('Plant Data'!C187*0.85*8760)</f>
        <v>0</v>
      </c>
    </row>
    <row r="188" spans="1:2">
      <c r="A188" t="str">
        <f>IF('Plant Data'!A188="","",'Plant Data'!A188)</f>
        <v/>
      </c>
      <c r="B188" s="50">
        <f>('Plant Data'!C188*0.85*8760)</f>
        <v>0</v>
      </c>
    </row>
    <row r="189" spans="1:2">
      <c r="A189" t="str">
        <f>IF('Plant Data'!A189="","",'Plant Data'!A189)</f>
        <v/>
      </c>
      <c r="B189" s="50">
        <f>('Plant Data'!C189*0.85*8760)</f>
        <v>0</v>
      </c>
    </row>
    <row r="190" spans="1:2">
      <c r="A190" t="str">
        <f>IF('Plant Data'!A190="","",'Plant Data'!A190)</f>
        <v/>
      </c>
      <c r="B190" s="50">
        <f>('Plant Data'!C190*0.85*8760)</f>
        <v>0</v>
      </c>
    </row>
    <row r="191" spans="1:2">
      <c r="A191" t="str">
        <f>IF('Plant Data'!A191="","",'Plant Data'!A191)</f>
        <v/>
      </c>
      <c r="B191" s="50">
        <f>('Plant Data'!C191*0.85*8760)</f>
        <v>0</v>
      </c>
    </row>
    <row r="192" spans="1:2">
      <c r="A192" t="str">
        <f>IF('Plant Data'!A192="","",'Plant Data'!A192)</f>
        <v/>
      </c>
      <c r="B192" s="50">
        <f>('Plant Data'!C192*0.85*8760)</f>
        <v>0</v>
      </c>
    </row>
    <row r="193" spans="1:2">
      <c r="A193" t="str">
        <f>IF('Plant Data'!A193="","",'Plant Data'!A193)</f>
        <v/>
      </c>
      <c r="B193" s="50">
        <f>('Plant Data'!C193*0.85*8760)</f>
        <v>0</v>
      </c>
    </row>
    <row r="194" spans="1:2">
      <c r="A194" t="str">
        <f>IF('Plant Data'!A194="","",'Plant Data'!A194)</f>
        <v/>
      </c>
      <c r="B194" s="50">
        <f>('Plant Data'!C194*0.85*8760)</f>
        <v>0</v>
      </c>
    </row>
    <row r="195" spans="1:2">
      <c r="A195" t="str">
        <f>IF('Plant Data'!A195="","",'Plant Data'!A195)</f>
        <v/>
      </c>
      <c r="B195" s="50">
        <f>('Plant Data'!C195*0.85*8760)</f>
        <v>0</v>
      </c>
    </row>
    <row r="196" spans="1:2">
      <c r="A196" t="str">
        <f>IF('Plant Data'!A196="","",'Plant Data'!A196)</f>
        <v/>
      </c>
      <c r="B196" s="50">
        <f>('Plant Data'!C196*0.85*8760)</f>
        <v>0</v>
      </c>
    </row>
    <row r="197" spans="1:2">
      <c r="A197" t="str">
        <f>IF('Plant Data'!A197="","",'Plant Data'!A197)</f>
        <v/>
      </c>
      <c r="B197" s="50">
        <f>('Plant Data'!C197*0.85*8760)</f>
        <v>0</v>
      </c>
    </row>
    <row r="198" spans="1:2">
      <c r="A198" t="str">
        <f>IF('Plant Data'!A198="","",'Plant Data'!A198)</f>
        <v/>
      </c>
      <c r="B198" s="50">
        <f>('Plant Data'!C198*0.85*8760)</f>
        <v>0</v>
      </c>
    </row>
    <row r="199" spans="1:2">
      <c r="A199" t="str">
        <f>IF('Plant Data'!A199="","",'Plant Data'!A199)</f>
        <v/>
      </c>
      <c r="B199" s="50">
        <f>('Plant Data'!C199*0.85*8760)</f>
        <v>0</v>
      </c>
    </row>
    <row r="200" spans="1:2">
      <c r="A200" t="str">
        <f>IF('Plant Data'!A200="","",'Plant Data'!A200)</f>
        <v/>
      </c>
      <c r="B200" s="50">
        <f>('Plant Data'!C200*0.85*8760)</f>
        <v>0</v>
      </c>
    </row>
    <row r="201" spans="1:2">
      <c r="A201" t="str">
        <f>IF('Plant Data'!A201="","",'Plant Data'!A201)</f>
        <v/>
      </c>
      <c r="B201" s="50">
        <f>('Plant Data'!C201*0.85*8760)</f>
        <v>0</v>
      </c>
    </row>
    <row r="202" spans="1:2">
      <c r="A202" t="str">
        <f>IF('Plant Data'!A202="","",'Plant Data'!A202)</f>
        <v/>
      </c>
      <c r="B202" s="50">
        <f>('Plant Data'!C202*0.85*8760)</f>
        <v>0</v>
      </c>
    </row>
    <row r="203" spans="1:2">
      <c r="A203" t="str">
        <f>IF('Plant Data'!A203="","",'Plant Data'!A203)</f>
        <v/>
      </c>
      <c r="B203" s="50">
        <f>('Plant Data'!C203*0.85*8760)</f>
        <v>0</v>
      </c>
    </row>
    <row r="204" spans="1:2">
      <c r="A204" t="str">
        <f>IF('Plant Data'!A204="","",'Plant Data'!A204)</f>
        <v/>
      </c>
      <c r="B204" s="50">
        <f>('Plant Data'!C204*0.85*8760)</f>
        <v>0</v>
      </c>
    </row>
    <row r="205" spans="1:2">
      <c r="A205" t="str">
        <f>IF('Plant Data'!A205="","",'Plant Data'!A205)</f>
        <v/>
      </c>
      <c r="B205" s="50">
        <f>('Plant Data'!C205*0.85*8760)</f>
        <v>0</v>
      </c>
    </row>
    <row r="206" spans="1:2">
      <c r="A206" t="str">
        <f>IF('Plant Data'!A206="","",'Plant Data'!A206)</f>
        <v/>
      </c>
      <c r="B206" s="50">
        <f>('Plant Data'!C206*0.85*8760)</f>
        <v>0</v>
      </c>
    </row>
    <row r="207" spans="1:2">
      <c r="A207" t="str">
        <f>IF('Plant Data'!A207="","",'Plant Data'!A207)</f>
        <v/>
      </c>
      <c r="B207" s="50">
        <f>('Plant Data'!C207*0.85*8760)</f>
        <v>0</v>
      </c>
    </row>
    <row r="208" spans="1:2">
      <c r="A208" t="str">
        <f>IF('Plant Data'!A208="","",'Plant Data'!A208)</f>
        <v/>
      </c>
      <c r="B208" s="50">
        <f>('Plant Data'!C208*0.85*8760)</f>
        <v>0</v>
      </c>
    </row>
    <row r="209" spans="1:2">
      <c r="A209" t="str">
        <f>IF('Plant Data'!A209="","",'Plant Data'!A209)</f>
        <v/>
      </c>
      <c r="B209" s="50">
        <f>('Plant Data'!C209*0.85*8760)</f>
        <v>0</v>
      </c>
    </row>
    <row r="210" spans="1:2">
      <c r="A210" t="str">
        <f>IF('Plant Data'!A210="","",'Plant Data'!A210)</f>
        <v/>
      </c>
      <c r="B210" s="50">
        <f>('Plant Data'!C210*0.85*8760)</f>
        <v>0</v>
      </c>
    </row>
    <row r="211" spans="1:2">
      <c r="A211" t="str">
        <f>IF('Plant Data'!A211="","",'Plant Data'!A211)</f>
        <v/>
      </c>
      <c r="B211" s="50">
        <f>('Plant Data'!C211*0.85*8760)</f>
        <v>0</v>
      </c>
    </row>
    <row r="212" spans="1:2">
      <c r="A212" t="str">
        <f>IF('Plant Data'!A212="","",'Plant Data'!A212)</f>
        <v/>
      </c>
      <c r="B212" s="50">
        <f>('Plant Data'!C212*0.85*8760)</f>
        <v>0</v>
      </c>
    </row>
    <row r="213" spans="1:2">
      <c r="A213" t="str">
        <f>IF('Plant Data'!A213="","",'Plant Data'!A213)</f>
        <v/>
      </c>
      <c r="B213" s="50">
        <f>('Plant Data'!C213*0.85*8760)</f>
        <v>0</v>
      </c>
    </row>
    <row r="214" spans="1:2">
      <c r="A214" t="str">
        <f>IF('Plant Data'!A214="","",'Plant Data'!A214)</f>
        <v/>
      </c>
      <c r="B214" s="50">
        <f>('Plant Data'!C214*0.85*8760)</f>
        <v>0</v>
      </c>
    </row>
    <row r="215" spans="1:2">
      <c r="A215" t="str">
        <f>IF('Plant Data'!A215="","",'Plant Data'!A215)</f>
        <v/>
      </c>
      <c r="B215" s="50">
        <f>('Plant Data'!C215*0.85*8760)</f>
        <v>0</v>
      </c>
    </row>
    <row r="216" spans="1:2">
      <c r="A216" t="str">
        <f>IF('Plant Data'!A216="","",'Plant Data'!A216)</f>
        <v/>
      </c>
      <c r="B216" s="50">
        <f>('Plant Data'!C216*0.85*8760)</f>
        <v>0</v>
      </c>
    </row>
    <row r="217" spans="1:2">
      <c r="A217" t="str">
        <f>IF('Plant Data'!A217="","",'Plant Data'!A217)</f>
        <v/>
      </c>
      <c r="B217" s="50">
        <f>('Plant Data'!C217*0.85*8760)</f>
        <v>0</v>
      </c>
    </row>
    <row r="218" spans="1:2">
      <c r="A218" t="str">
        <f>IF('Plant Data'!A218="","",'Plant Data'!A218)</f>
        <v/>
      </c>
      <c r="B218" s="50">
        <f>('Plant Data'!C218*0.85*8760)</f>
        <v>0</v>
      </c>
    </row>
    <row r="219" spans="1:2">
      <c r="A219" t="str">
        <f>IF('Plant Data'!A219="","",'Plant Data'!A219)</f>
        <v/>
      </c>
      <c r="B219" s="50">
        <f>('Plant Data'!C219*0.85*8760)</f>
        <v>0</v>
      </c>
    </row>
    <row r="220" spans="1:2">
      <c r="A220" t="str">
        <f>IF('Plant Data'!A220="","",'Plant Data'!A220)</f>
        <v/>
      </c>
      <c r="B220" s="50">
        <f>('Plant Data'!C220*0.85*8760)</f>
        <v>0</v>
      </c>
    </row>
    <row r="221" spans="1:2">
      <c r="A221" t="str">
        <f>IF('Plant Data'!A221="","",'Plant Data'!A221)</f>
        <v/>
      </c>
      <c r="B221" s="50">
        <f>('Plant Data'!C221*0.85*8760)</f>
        <v>0</v>
      </c>
    </row>
    <row r="222" spans="1:2">
      <c r="A222" t="str">
        <f>IF('Plant Data'!A222="","",'Plant Data'!A222)</f>
        <v/>
      </c>
      <c r="B222" s="50">
        <f>('Plant Data'!C222*0.85*8760)</f>
        <v>0</v>
      </c>
    </row>
    <row r="223" spans="1:2">
      <c r="A223" t="str">
        <f>IF('Plant Data'!A223="","",'Plant Data'!A223)</f>
        <v/>
      </c>
      <c r="B223" s="50">
        <f>('Plant Data'!C223*0.85*8760)</f>
        <v>0</v>
      </c>
    </row>
    <row r="224" spans="1:2">
      <c r="A224" t="str">
        <f>IF('Plant Data'!A224="","",'Plant Data'!A224)</f>
        <v/>
      </c>
      <c r="B224" s="50">
        <f>('Plant Data'!C224*0.85*8760)</f>
        <v>0</v>
      </c>
    </row>
    <row r="225" spans="1:2">
      <c r="A225" t="str">
        <f>IF('Plant Data'!A225="","",'Plant Data'!A225)</f>
        <v/>
      </c>
      <c r="B225" s="50">
        <f>('Plant Data'!C225*0.85*8760)</f>
        <v>0</v>
      </c>
    </row>
    <row r="226" spans="1:2">
      <c r="A226" t="str">
        <f>IF('Plant Data'!A226="","",'Plant Data'!A226)</f>
        <v/>
      </c>
      <c r="B226" s="50">
        <f>('Plant Data'!C226*0.85*8760)</f>
        <v>0</v>
      </c>
    </row>
    <row r="227" spans="1:2">
      <c r="A227" t="str">
        <f>IF('Plant Data'!A227="","",'Plant Data'!A227)</f>
        <v/>
      </c>
      <c r="B227" s="50">
        <f>('Plant Data'!C227*0.85*8760)</f>
        <v>0</v>
      </c>
    </row>
    <row r="228" spans="1:2">
      <c r="A228" t="str">
        <f>IF('Plant Data'!A228="","",'Plant Data'!A228)</f>
        <v/>
      </c>
      <c r="B228" s="50">
        <f>('Plant Data'!C228*0.85*8760)</f>
        <v>0</v>
      </c>
    </row>
    <row r="229" spans="1:2">
      <c r="A229" t="str">
        <f>IF('Plant Data'!A229="","",'Plant Data'!A229)</f>
        <v/>
      </c>
      <c r="B229" s="50">
        <f>('Plant Data'!C229*0.85*8760)</f>
        <v>0</v>
      </c>
    </row>
    <row r="230" spans="1:2">
      <c r="A230" t="str">
        <f>IF('Plant Data'!A230="","",'Plant Data'!A230)</f>
        <v/>
      </c>
      <c r="B230" s="50">
        <f>('Plant Data'!C230*0.85*8760)</f>
        <v>0</v>
      </c>
    </row>
    <row r="231" spans="1:2">
      <c r="A231" t="str">
        <f>IF('Plant Data'!A231="","",'Plant Data'!A231)</f>
        <v/>
      </c>
      <c r="B231" s="50">
        <f>('Plant Data'!C231*0.85*8760)</f>
        <v>0</v>
      </c>
    </row>
    <row r="232" spans="1:2">
      <c r="A232" t="str">
        <f>IF('Plant Data'!A232="","",'Plant Data'!A232)</f>
        <v/>
      </c>
      <c r="B232" s="50">
        <f>('Plant Data'!C232*0.85*8760)</f>
        <v>0</v>
      </c>
    </row>
    <row r="233" spans="1:2">
      <c r="A233" t="str">
        <f>IF('Plant Data'!A233="","",'Plant Data'!A233)</f>
        <v/>
      </c>
      <c r="B233" s="50">
        <f>('Plant Data'!C233*0.85*8760)</f>
        <v>0</v>
      </c>
    </row>
    <row r="234" spans="1:2">
      <c r="A234" t="str">
        <f>IF('Plant Data'!A234="","",'Plant Data'!A234)</f>
        <v/>
      </c>
      <c r="B234" s="50">
        <f>('Plant Data'!C234*0.85*8760)</f>
        <v>0</v>
      </c>
    </row>
    <row r="235" spans="1:2">
      <c r="A235" t="str">
        <f>IF('Plant Data'!A235="","",'Plant Data'!A235)</f>
        <v/>
      </c>
      <c r="B235" s="50">
        <f>('Plant Data'!C235*0.85*8760)</f>
        <v>0</v>
      </c>
    </row>
    <row r="236" spans="1:2">
      <c r="A236" t="str">
        <f>IF('Plant Data'!A236="","",'Plant Data'!A236)</f>
        <v/>
      </c>
      <c r="B236" s="50">
        <f>('Plant Data'!C236*0.85*8760)</f>
        <v>0</v>
      </c>
    </row>
    <row r="237" spans="1:2">
      <c r="A237" t="str">
        <f>IF('Plant Data'!A237="","",'Plant Data'!A237)</f>
        <v/>
      </c>
      <c r="B237" s="50">
        <f>('Plant Data'!C237*0.85*8760)</f>
        <v>0</v>
      </c>
    </row>
    <row r="238" spans="1:2">
      <c r="A238" t="str">
        <f>IF('Plant Data'!A238="","",'Plant Data'!A238)</f>
        <v/>
      </c>
      <c r="B238" s="50">
        <f>('Plant Data'!C238*0.85*8760)</f>
        <v>0</v>
      </c>
    </row>
    <row r="239" spans="1:2">
      <c r="A239" t="str">
        <f>IF('Plant Data'!A239="","",'Plant Data'!A239)</f>
        <v/>
      </c>
      <c r="B239" s="50">
        <f>('Plant Data'!C239*0.85*8760)</f>
        <v>0</v>
      </c>
    </row>
    <row r="240" spans="1:2">
      <c r="A240" t="str">
        <f>IF('Plant Data'!A240="","",'Plant Data'!A240)</f>
        <v/>
      </c>
      <c r="B240" s="50">
        <f>('Plant Data'!C240*0.85*8760)</f>
        <v>0</v>
      </c>
    </row>
    <row r="241" spans="1:2">
      <c r="A241" t="str">
        <f>IF('Plant Data'!A241="","",'Plant Data'!A241)</f>
        <v/>
      </c>
      <c r="B241" s="50">
        <f>('Plant Data'!C241*0.85*8760)</f>
        <v>0</v>
      </c>
    </row>
    <row r="242" spans="1:2">
      <c r="A242" t="str">
        <f>IF('Plant Data'!A242="","",'Plant Data'!A242)</f>
        <v/>
      </c>
      <c r="B242" s="50">
        <f>('Plant Data'!C242*0.85*8760)</f>
        <v>0</v>
      </c>
    </row>
    <row r="243" spans="1:2">
      <c r="A243" t="str">
        <f>IF('Plant Data'!A243="","",'Plant Data'!A243)</f>
        <v/>
      </c>
      <c r="B243" s="50">
        <f>('Plant Data'!C243*0.85*8760)</f>
        <v>0</v>
      </c>
    </row>
    <row r="244" spans="1:2">
      <c r="A244" t="str">
        <f>IF('Plant Data'!A244="","",'Plant Data'!A244)</f>
        <v/>
      </c>
      <c r="B244" s="50">
        <f>('Plant Data'!C244*0.85*8760)</f>
        <v>0</v>
      </c>
    </row>
    <row r="245" spans="1:2">
      <c r="A245" t="str">
        <f>IF('Plant Data'!A245="","",'Plant Data'!A245)</f>
        <v/>
      </c>
      <c r="B245" s="50">
        <f>('Plant Data'!C245*0.85*8760)</f>
        <v>0</v>
      </c>
    </row>
    <row r="246" spans="1:2">
      <c r="A246" t="str">
        <f>IF('Plant Data'!A246="","",'Plant Data'!A246)</f>
        <v/>
      </c>
      <c r="B246" s="50">
        <f>('Plant Data'!C246*0.85*8760)</f>
        <v>0</v>
      </c>
    </row>
    <row r="247" spans="1:2">
      <c r="A247" t="str">
        <f>IF('Plant Data'!A247="","",'Plant Data'!A247)</f>
        <v/>
      </c>
      <c r="B247" s="50">
        <f>('Plant Data'!C247*0.85*8760)</f>
        <v>0</v>
      </c>
    </row>
    <row r="248" spans="1:2">
      <c r="A248" t="str">
        <f>IF('Plant Data'!A248="","",'Plant Data'!A248)</f>
        <v/>
      </c>
      <c r="B248" s="50">
        <f>('Plant Data'!C248*0.85*8760)</f>
        <v>0</v>
      </c>
    </row>
    <row r="249" spans="1:2">
      <c r="A249" t="str">
        <f>IF('Plant Data'!A249="","",'Plant Data'!A249)</f>
        <v/>
      </c>
      <c r="B249" s="50">
        <f>('Plant Data'!C249*0.85*8760)</f>
        <v>0</v>
      </c>
    </row>
    <row r="250" spans="1:2">
      <c r="A250" t="str">
        <f>IF('Plant Data'!A250="","",'Plant Data'!A250)</f>
        <v/>
      </c>
      <c r="B250" s="50">
        <f>('Plant Data'!C250*0.85*8760)</f>
        <v>0</v>
      </c>
    </row>
    <row r="251" spans="1:2">
      <c r="A251" t="str">
        <f>IF('Plant Data'!A251="","",'Plant Data'!A251)</f>
        <v/>
      </c>
      <c r="B251" s="50">
        <f>('Plant Data'!C251*0.85*8760)</f>
        <v>0</v>
      </c>
    </row>
    <row r="252" spans="1:2">
      <c r="A252" t="str">
        <f>IF('Plant Data'!A252="","",'Plant Data'!A252)</f>
        <v/>
      </c>
      <c r="B252" s="50">
        <f>('Plant Data'!C252*0.85*8760)</f>
        <v>0</v>
      </c>
    </row>
    <row r="253" spans="1:2">
      <c r="A253" t="str">
        <f>IF('Plant Data'!A253="","",'Plant Data'!A253)</f>
        <v/>
      </c>
      <c r="B253" s="50">
        <f>('Plant Data'!C253*0.85*8760)</f>
        <v>0</v>
      </c>
    </row>
    <row r="254" spans="1:2">
      <c r="A254" t="str">
        <f>IF('Plant Data'!A254="","",'Plant Data'!A254)</f>
        <v/>
      </c>
      <c r="B254" s="50">
        <f>('Plant Data'!C254*0.85*8760)</f>
        <v>0</v>
      </c>
    </row>
    <row r="255" spans="1:2">
      <c r="A255" t="str">
        <f>IF('Plant Data'!A255="","",'Plant Data'!A255)</f>
        <v/>
      </c>
      <c r="B255" s="50">
        <f>('Plant Data'!C255*0.85*8760)</f>
        <v>0</v>
      </c>
    </row>
    <row r="256" spans="1:2">
      <c r="A256" t="str">
        <f>IF('Plant Data'!A256="","",'Plant Data'!A256)</f>
        <v/>
      </c>
      <c r="B256" s="50">
        <f>('Plant Data'!C256*0.85*8760)</f>
        <v>0</v>
      </c>
    </row>
    <row r="257" spans="1:2">
      <c r="A257" t="str">
        <f>IF('Plant Data'!A257="","",'Plant Data'!A257)</f>
        <v/>
      </c>
      <c r="B257" s="50">
        <f>('Plant Data'!C257*0.85*8760)</f>
        <v>0</v>
      </c>
    </row>
    <row r="258" spans="1:2">
      <c r="A258" t="str">
        <f>IF('Plant Data'!A258="","",'Plant Data'!A258)</f>
        <v/>
      </c>
      <c r="B258" s="50">
        <f>('Plant Data'!C258*0.85*8760)</f>
        <v>0</v>
      </c>
    </row>
    <row r="259" spans="1:2">
      <c r="A259" t="str">
        <f>IF('Plant Data'!A259="","",'Plant Data'!A259)</f>
        <v/>
      </c>
      <c r="B259" s="50">
        <f>('Plant Data'!C259*0.85*8760)</f>
        <v>0</v>
      </c>
    </row>
    <row r="260" spans="1:2">
      <c r="A260" t="str">
        <f>IF('Plant Data'!A260="","",'Plant Data'!A260)</f>
        <v/>
      </c>
      <c r="B260" s="50">
        <f>('Plant Data'!C260*0.85*8760)</f>
        <v>0</v>
      </c>
    </row>
    <row r="261" spans="1:2">
      <c r="A261" t="str">
        <f>IF('Plant Data'!A261="","",'Plant Data'!A261)</f>
        <v/>
      </c>
      <c r="B261" s="50">
        <f>('Plant Data'!C261*0.85*8760)</f>
        <v>0</v>
      </c>
    </row>
    <row r="262" spans="1:2">
      <c r="A262" t="str">
        <f>IF('Plant Data'!A262="","",'Plant Data'!A262)</f>
        <v/>
      </c>
      <c r="B262" s="50">
        <f>('Plant Data'!C262*0.85*8760)</f>
        <v>0</v>
      </c>
    </row>
    <row r="263" spans="1:2">
      <c r="A263" t="str">
        <f>IF('Plant Data'!A263="","",'Plant Data'!A263)</f>
        <v/>
      </c>
      <c r="B263" s="50">
        <f>('Plant Data'!C263*0.85*8760)</f>
        <v>0</v>
      </c>
    </row>
    <row r="264" spans="1:2">
      <c r="A264" t="str">
        <f>IF('Plant Data'!A264="","",'Plant Data'!A264)</f>
        <v/>
      </c>
      <c r="B264" s="50">
        <f>('Plant Data'!C264*0.85*8760)</f>
        <v>0</v>
      </c>
    </row>
    <row r="265" spans="1:2">
      <c r="A265" t="str">
        <f>IF('Plant Data'!A265="","",'Plant Data'!A265)</f>
        <v/>
      </c>
      <c r="B265" s="50">
        <f>('Plant Data'!C265*0.85*8760)</f>
        <v>0</v>
      </c>
    </row>
    <row r="266" spans="1:2">
      <c r="A266" t="str">
        <f>IF('Plant Data'!A266="","",'Plant Data'!A266)</f>
        <v/>
      </c>
      <c r="B266" s="50">
        <f>('Plant Data'!C266*0.85*8760)</f>
        <v>0</v>
      </c>
    </row>
    <row r="267" spans="1:2">
      <c r="A267" t="str">
        <f>IF('Plant Data'!A267="","",'Plant Data'!A267)</f>
        <v/>
      </c>
      <c r="B267" s="50">
        <f>('Plant Data'!C267*0.85*8760)</f>
        <v>0</v>
      </c>
    </row>
    <row r="268" spans="1:2">
      <c r="A268" t="str">
        <f>IF('Plant Data'!A268="","",'Plant Data'!A268)</f>
        <v/>
      </c>
      <c r="B268" s="50">
        <f>('Plant Data'!C268*0.85*8760)</f>
        <v>0</v>
      </c>
    </row>
    <row r="269" spans="1:2">
      <c r="A269" t="str">
        <f>IF('Plant Data'!A269="","",'Plant Data'!A269)</f>
        <v/>
      </c>
      <c r="B269" s="50">
        <f>('Plant Data'!C269*0.85*8760)</f>
        <v>0</v>
      </c>
    </row>
    <row r="270" spans="1:2">
      <c r="A270" t="str">
        <f>IF('Plant Data'!A270="","",'Plant Data'!A270)</f>
        <v/>
      </c>
      <c r="B270" s="50">
        <f>('Plant Data'!C270*0.85*8760)</f>
        <v>0</v>
      </c>
    </row>
    <row r="271" spans="1:2">
      <c r="A271" t="str">
        <f>IF('Plant Data'!A271="","",'Plant Data'!A271)</f>
        <v/>
      </c>
      <c r="B271" s="50">
        <f>('Plant Data'!C271*0.85*8760)</f>
        <v>0</v>
      </c>
    </row>
    <row r="272" spans="1:2">
      <c r="A272" t="str">
        <f>IF('Plant Data'!A272="","",'Plant Data'!A272)</f>
        <v/>
      </c>
      <c r="B272" s="50">
        <f>('Plant Data'!C272*0.85*8760)</f>
        <v>0</v>
      </c>
    </row>
    <row r="273" spans="1:2">
      <c r="A273" t="str">
        <f>IF('Plant Data'!A273="","",'Plant Data'!A273)</f>
        <v/>
      </c>
      <c r="B273" s="50">
        <f>('Plant Data'!C273*0.85*8760)</f>
        <v>0</v>
      </c>
    </row>
    <row r="274" spans="1:2">
      <c r="A274" t="str">
        <f>IF('Plant Data'!A274="","",'Plant Data'!A274)</f>
        <v/>
      </c>
      <c r="B274" s="50">
        <f>('Plant Data'!C274*0.85*8760)</f>
        <v>0</v>
      </c>
    </row>
    <row r="275" spans="1:2">
      <c r="A275" t="str">
        <f>IF('Plant Data'!A275="","",'Plant Data'!A275)</f>
        <v/>
      </c>
      <c r="B275" s="50">
        <f>('Plant Data'!C275*0.85*8760)</f>
        <v>0</v>
      </c>
    </row>
    <row r="276" spans="1:2">
      <c r="A276" t="str">
        <f>IF('Plant Data'!A276="","",'Plant Data'!A276)</f>
        <v/>
      </c>
      <c r="B276" s="50">
        <f>('Plant Data'!C276*0.85*8760)</f>
        <v>0</v>
      </c>
    </row>
    <row r="277" spans="1:2">
      <c r="A277" t="str">
        <f>IF('Plant Data'!A277="","",'Plant Data'!A277)</f>
        <v/>
      </c>
      <c r="B277" s="50">
        <f>('Plant Data'!C277*0.85*8760)</f>
        <v>0</v>
      </c>
    </row>
    <row r="278" spans="1:2">
      <c r="A278" t="str">
        <f>IF('Plant Data'!A278="","",'Plant Data'!A278)</f>
        <v/>
      </c>
      <c r="B278" s="50">
        <f>('Plant Data'!C278*0.85*8760)</f>
        <v>0</v>
      </c>
    </row>
    <row r="279" spans="1:2">
      <c r="A279" t="str">
        <f>IF('Plant Data'!A279="","",'Plant Data'!A279)</f>
        <v/>
      </c>
      <c r="B279" s="50">
        <f>('Plant Data'!C279*0.85*8760)</f>
        <v>0</v>
      </c>
    </row>
    <row r="280" spans="1:2">
      <c r="A280" t="str">
        <f>IF('Plant Data'!A280="","",'Plant Data'!A280)</f>
        <v/>
      </c>
      <c r="B280" s="50">
        <f>('Plant Data'!C280*0.85*8760)</f>
        <v>0</v>
      </c>
    </row>
    <row r="281" spans="1:2">
      <c r="A281" t="str">
        <f>IF('Plant Data'!A281="","",'Plant Data'!A281)</f>
        <v/>
      </c>
      <c r="B281" s="50">
        <f>('Plant Data'!C281*0.85*8760)</f>
        <v>0</v>
      </c>
    </row>
    <row r="282" spans="1:2">
      <c r="A282" t="str">
        <f>IF('Plant Data'!A282="","",'Plant Data'!A282)</f>
        <v/>
      </c>
      <c r="B282" s="50">
        <f>('Plant Data'!C282*0.85*8760)</f>
        <v>0</v>
      </c>
    </row>
    <row r="283" spans="1:2">
      <c r="A283" t="str">
        <f>IF('Plant Data'!A283="","",'Plant Data'!A283)</f>
        <v/>
      </c>
      <c r="B283" s="50">
        <f>('Plant Data'!C283*0.85*8760)</f>
        <v>0</v>
      </c>
    </row>
    <row r="284" spans="1:2">
      <c r="A284" t="str">
        <f>IF('Plant Data'!A284="","",'Plant Data'!A284)</f>
        <v/>
      </c>
      <c r="B284" s="50">
        <f>('Plant Data'!C284*0.85*8760)</f>
        <v>0</v>
      </c>
    </row>
    <row r="285" spans="1:2">
      <c r="A285" t="str">
        <f>IF('Plant Data'!A285="","",'Plant Data'!A285)</f>
        <v/>
      </c>
      <c r="B285" s="50">
        <f>('Plant Data'!C285*0.85*8760)</f>
        <v>0</v>
      </c>
    </row>
    <row r="286" spans="1:2">
      <c r="A286" t="str">
        <f>IF('Plant Data'!A286="","",'Plant Data'!A286)</f>
        <v/>
      </c>
      <c r="B286" s="50">
        <f>('Plant Data'!C286*0.85*8760)</f>
        <v>0</v>
      </c>
    </row>
    <row r="287" spans="1:2">
      <c r="A287" t="str">
        <f>IF('Plant Data'!A287="","",'Plant Data'!A287)</f>
        <v/>
      </c>
      <c r="B287" s="50">
        <f>('Plant Data'!C287*0.85*8760)</f>
        <v>0</v>
      </c>
    </row>
    <row r="288" spans="1:2">
      <c r="A288" t="str">
        <f>IF('Plant Data'!A288="","",'Plant Data'!A288)</f>
        <v/>
      </c>
      <c r="B288" s="50">
        <f>('Plant Data'!C288*0.85*8760)</f>
        <v>0</v>
      </c>
    </row>
    <row r="289" spans="1:21">
      <c r="A289" t="str">
        <f>IF('Plant Data'!A289="","",'Plant Data'!A289)</f>
        <v/>
      </c>
      <c r="B289" s="50">
        <f>('Plant Data'!C289*0.85*8760)</f>
        <v>0</v>
      </c>
    </row>
    <row r="290" spans="1:21">
      <c r="A290" t="str">
        <f>IF('Plant Data'!A290="","",'Plant Data'!A290)</f>
        <v/>
      </c>
      <c r="B290" s="50">
        <f>('Plant Data'!C290*0.85*8760)</f>
        <v>0</v>
      </c>
    </row>
    <row r="291" spans="1:21">
      <c r="A291" t="str">
        <f>IF('Plant Data'!A291="","",'Plant Data'!A291)</f>
        <v/>
      </c>
      <c r="B291" s="50">
        <f>('Plant Data'!C291*0.85*8760)</f>
        <v>0</v>
      </c>
    </row>
    <row r="292" spans="1:21">
      <c r="A292" t="str">
        <f>IF('Plant Data'!A292="","",'Plant Data'!A292)</f>
        <v/>
      </c>
      <c r="B292" s="50">
        <f>('Plant Data'!C292*0.85*8760)</f>
        <v>0</v>
      </c>
    </row>
    <row r="293" spans="1:21">
      <c r="A293" t="str">
        <f>IF('Plant Data'!A293="","",'Plant Data'!A293)</f>
        <v/>
      </c>
      <c r="B293" s="50">
        <f>('Plant Data'!C293*0.85*8760)</f>
        <v>0</v>
      </c>
    </row>
    <row r="294" spans="1:21">
      <c r="A294" t="str">
        <f>IF('Plant Data'!A294="","",'Plant Data'!A294)</f>
        <v/>
      </c>
      <c r="B294" s="50">
        <f>('Plant Data'!C294*0.85*8760)</f>
        <v>0</v>
      </c>
    </row>
    <row r="295" spans="1:21">
      <c r="A295" t="str">
        <f>IF('Plant Data'!A295="","",'Plant Data'!A295)</f>
        <v/>
      </c>
      <c r="B295" s="50">
        <f>('Plant Data'!C295*0.85*8760)</f>
        <v>0</v>
      </c>
    </row>
    <row r="296" spans="1:21">
      <c r="A296" t="str">
        <f>IF('Plant Data'!A296="","",'Plant Data'!A296)</f>
        <v/>
      </c>
      <c r="B296" s="50">
        <f>('Plant Data'!C296*0.85*8760)</f>
        <v>0</v>
      </c>
    </row>
    <row r="297" spans="1:21">
      <c r="A297" t="str">
        <f>IF('Plant Data'!A297="","",'Plant Data'!A297)</f>
        <v/>
      </c>
      <c r="B297" s="50">
        <f>('Plant Data'!C297*0.85*8760)</f>
        <v>0</v>
      </c>
    </row>
    <row r="298" spans="1:21">
      <c r="A298" t="str">
        <f>IF('Plant Data'!A298="","",'Plant Data'!A298)</f>
        <v/>
      </c>
      <c r="B298" s="50">
        <f>('Plant Data'!C298*0.85*8760)</f>
        <v>0</v>
      </c>
    </row>
    <row r="299" spans="1:21">
      <c r="A299" t="str">
        <f>IF('Plant Data'!A299="","",'Plant Data'!A299)</f>
        <v/>
      </c>
      <c r="B299" s="50">
        <f>('Plant Data'!C299*0.85*8760)</f>
        <v>0</v>
      </c>
    </row>
    <row r="300" spans="1:21" ht="16" thickBot="1">
      <c r="A300" s="48" t="str">
        <f>IF('Plant Data'!A300="","",'Plant Data'!A300)</f>
        <v/>
      </c>
      <c r="B300" s="51">
        <f>('Plant Data'!C300*0.85*8760)</f>
        <v>0</v>
      </c>
      <c r="C300" s="48"/>
      <c r="D300" s="48"/>
      <c r="E300" s="48"/>
      <c r="F300" s="48"/>
      <c r="G300" s="48"/>
      <c r="H300" s="48"/>
      <c r="I300" s="48"/>
      <c r="J300" s="48"/>
      <c r="K300" s="48"/>
      <c r="L300" s="48"/>
      <c r="M300" s="48"/>
      <c r="N300" s="48"/>
      <c r="O300" s="48"/>
      <c r="P300" s="48"/>
      <c r="Q300" s="48"/>
      <c r="R300" s="48"/>
      <c r="S300" s="48"/>
      <c r="T300" s="48"/>
      <c r="U300" s="48"/>
    </row>
  </sheetData>
  <autoFilter ref="A3:AU3" xr:uid="{03C98107-0B48-4B4C-BA88-C1A778D125C8}"/>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W64"/>
  <sheetViews>
    <sheetView showGridLines="0" tabSelected="1" topLeftCell="X1" zoomScale="106" workbookViewId="0">
      <selection activeCell="AL27" sqref="AL27"/>
    </sheetView>
  </sheetViews>
  <sheetFormatPr baseColWidth="10" defaultColWidth="8.83203125" defaultRowHeight="15"/>
  <cols>
    <col min="1" max="1" width="25.5" customWidth="1"/>
    <col min="2" max="2" width="12.5" bestFit="1" customWidth="1"/>
    <col min="3" max="3" width="11.1640625" bestFit="1" customWidth="1"/>
    <col min="4" max="24" width="8.6640625" customWidth="1"/>
  </cols>
  <sheetData>
    <row r="1" spans="1:49" ht="47">
      <c r="A1" s="41" t="s">
        <v>0</v>
      </c>
      <c r="B1" s="41"/>
      <c r="C1" s="41"/>
      <c r="D1" s="42"/>
      <c r="E1" s="42"/>
      <c r="F1" s="42"/>
      <c r="G1" s="42"/>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c r="AW1" s="6"/>
    </row>
    <row r="2" spans="1:49" ht="26">
      <c r="A2" s="43" t="s">
        <v>95</v>
      </c>
      <c r="B2" s="43"/>
      <c r="C2" s="43"/>
      <c r="D2" s="42"/>
      <c r="E2" s="42"/>
      <c r="F2" s="42"/>
      <c r="G2" s="42"/>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c r="AW2" s="6"/>
    </row>
    <row r="3" spans="1:49">
      <c r="A3" s="44" t="s">
        <v>83</v>
      </c>
      <c r="B3" s="44" t="s">
        <v>91</v>
      </c>
      <c r="C3" s="65">
        <f>Definitions!I33</f>
        <v>45658</v>
      </c>
      <c r="D3" s="65">
        <f>IFERROR(IF(EDATE(C3,12)&lt;(Definitions!$I$34+1),EDATE(C3,12),""),"")</f>
        <v>46023</v>
      </c>
      <c r="E3" s="65">
        <f>IFERROR(IF(EDATE(D3,12)&lt;(Definitions!$I$34+1),EDATE(D3,12),""),"")</f>
        <v>46388</v>
      </c>
      <c r="F3" s="65">
        <f>IFERROR(IF(EDATE(E3,12)&lt;(Definitions!$I$34+1),EDATE(E3,12),""),"")</f>
        <v>46753</v>
      </c>
      <c r="G3" s="65">
        <f>IFERROR(IF(EDATE(F3,12)&lt;(Definitions!$I$34+1),EDATE(F3,12),""),"")</f>
        <v>47119</v>
      </c>
      <c r="H3" s="65">
        <f>IFERROR(IF(EDATE(G3,12)&lt;(Definitions!$I$34+1),EDATE(G3,12),""),"")</f>
        <v>47484</v>
      </c>
      <c r="I3" s="65">
        <f>IFERROR(IF(EDATE(H3,12)&lt;(Definitions!$I$34+1),EDATE(H3,12),""),"")</f>
        <v>47849</v>
      </c>
      <c r="J3" s="65">
        <f>IFERROR(IF(EDATE(I3,12)&lt;(Definitions!$I$34+1),EDATE(I3,12),""),"")</f>
        <v>48214</v>
      </c>
      <c r="K3" s="65">
        <f>IFERROR(IF(EDATE(J3,12)&lt;(Definitions!$I$34+1),EDATE(J3,12),""),"")</f>
        <v>48580</v>
      </c>
      <c r="L3" s="65">
        <f>IFERROR(IF(EDATE(K3,12)&lt;(Definitions!$I$34+1),EDATE(K3,12),""),"")</f>
        <v>48945</v>
      </c>
      <c r="M3" s="65">
        <f>IFERROR(IF(EDATE(L3,12)&lt;(Definitions!$I$34+1),EDATE(L3,12),""),"")</f>
        <v>49310</v>
      </c>
      <c r="N3" s="65">
        <f>IFERROR(IF(EDATE(M3,12)&lt;(Definitions!$I$34+1),EDATE(M3,12),""),"")</f>
        <v>49675</v>
      </c>
      <c r="O3" s="65">
        <f>IFERROR(IF(EDATE(N3,12)&lt;(Definitions!$I$34+1),EDATE(N3,12),""),"")</f>
        <v>50041</v>
      </c>
      <c r="P3" s="65">
        <f>IFERROR(IF(EDATE(O3,12)&lt;(Definitions!$I$34+1),EDATE(O3,12),""),"")</f>
        <v>50406</v>
      </c>
      <c r="Q3" s="65">
        <f>IFERROR(IF(EDATE(P3,12)&lt;(Definitions!$I$34+1),EDATE(P3,12),""),"")</f>
        <v>50771</v>
      </c>
      <c r="R3" s="65">
        <f>IFERROR(IF(EDATE(Q3,12)&lt;(Definitions!$I$34+1),EDATE(Q3,12),""),"")</f>
        <v>51136</v>
      </c>
      <c r="S3" s="65">
        <f>IFERROR(IF(EDATE(R3,12)&lt;(Definitions!$I$34+1),EDATE(R3,12),""),"")</f>
        <v>51502</v>
      </c>
      <c r="T3" s="65">
        <f>IFERROR(IF(EDATE(S3,12)&lt;(Definitions!$I$34+1),EDATE(S3,12),""),"")</f>
        <v>51867</v>
      </c>
      <c r="U3" s="65">
        <f>IFERROR(IF(EDATE(T3,12)&lt;(Definitions!$I$34+1),EDATE(T3,12),""),"")</f>
        <v>52232</v>
      </c>
      <c r="V3" s="65">
        <f>IFERROR(IF(EDATE(U3,12)&lt;(Definitions!$I$34+1),EDATE(U3,12),""),"")</f>
        <v>52597</v>
      </c>
      <c r="W3" s="65">
        <f>IFERROR(IF(EDATE(V3,12)&lt;(Definitions!$I$34+1),EDATE(V3,12),""),"")</f>
        <v>52963</v>
      </c>
      <c r="X3" s="65">
        <f>IFERROR(IF(EDATE(W3,12)&lt;(Definitions!$I$34+1),EDATE(W3,12),""),"")</f>
        <v>53328</v>
      </c>
      <c r="Y3" s="65">
        <f>IFERROR(IF(EDATE(X3,12)&lt;(Definitions!$I$34+1),EDATE(X3,12),""),"")</f>
        <v>53693</v>
      </c>
      <c r="Z3" s="65">
        <f>IFERROR(IF(EDATE(Y3,12)&lt;(Definitions!$I$34+1),EDATE(Y3,12),""),"")</f>
        <v>54058</v>
      </c>
      <c r="AA3" s="65">
        <f>IFERROR(IF(EDATE(Z3,12)&lt;(Definitions!$I$34+1),EDATE(Z3,12),""),"")</f>
        <v>54424</v>
      </c>
      <c r="AB3" s="65">
        <f>IFERROR(IF(EDATE(AA3,12)&lt;(Definitions!$I$34+1),EDATE(AA3,12),""),"")</f>
        <v>54789</v>
      </c>
      <c r="AC3" s="65">
        <f>IFERROR(IF(EDATE(AB3,12)&lt;(Definitions!$I$34+1),EDATE(AB3,12),""),"")</f>
        <v>55154</v>
      </c>
      <c r="AD3" s="65">
        <f>IFERROR(IF(EDATE(AC3,12)&lt;(Definitions!$I$34+1),EDATE(AC3,12),""),"")</f>
        <v>55519</v>
      </c>
      <c r="AE3" s="65">
        <f>IFERROR(IF(EDATE(AD3,12)&lt;(Definitions!$I$34+1),EDATE(AD3,12),""),"")</f>
        <v>55885</v>
      </c>
      <c r="AF3" s="65">
        <f>IFERROR(IF(EDATE(AE3,12)&lt;(Definitions!$I$34+1),EDATE(AE3,12),""),"")</f>
        <v>56250</v>
      </c>
      <c r="AG3" s="65">
        <f>IFERROR(IF(EDATE(AF3,12)&lt;(Definitions!$I$34+1),EDATE(AF3,12),""),"")</f>
        <v>56615</v>
      </c>
      <c r="AH3" s="65">
        <f>IFERROR(IF(EDATE(AG3,12)&lt;(Definitions!$I$34+1),EDATE(AG3,12),""),"")</f>
        <v>56980</v>
      </c>
      <c r="AI3" s="65">
        <f>IFERROR(IF(EDATE(AH3,12)&lt;(Definitions!$I$34+1),EDATE(AH3,12),""),"")</f>
        <v>57346</v>
      </c>
      <c r="AJ3" s="65">
        <f>IFERROR(IF(EDATE(AI3,12)&lt;(Definitions!$I$34+1),EDATE(AI3,12),""),"")</f>
        <v>57711</v>
      </c>
      <c r="AK3" s="65">
        <f>IFERROR(IF(EDATE(AJ3,12)&lt;(Definitions!$I$34+1),EDATE(AJ3,12),""),"")</f>
        <v>58076</v>
      </c>
      <c r="AL3" s="65">
        <f>IFERROR(IF(EDATE(AK3,12)&lt;(Definitions!$I$34+1),EDATE(AK3,12),""),"")</f>
        <v>58441</v>
      </c>
      <c r="AM3" s="65">
        <f>IFERROR(IF(EDATE(AL3,12)&lt;(Definitions!$I$34+1),EDATE(AL3,12),""),"")</f>
        <v>58807</v>
      </c>
      <c r="AN3" s="65">
        <f>IFERROR(IF(EDATE(AM3,12)&lt;(Definitions!$I$34+1),EDATE(AM3,12),""),"")</f>
        <v>59172</v>
      </c>
      <c r="AO3" s="65">
        <f>IFERROR(IF(EDATE(AN3,12)&lt;(Definitions!$I$34+1),EDATE(AN3,12),""),"")</f>
        <v>59537</v>
      </c>
      <c r="AP3" s="65">
        <f>IFERROR(IF(EDATE(AO3,12)&lt;(Definitions!$I$34+1),EDATE(AO3,12),""),"")</f>
        <v>59902</v>
      </c>
      <c r="AQ3" s="65">
        <f>IFERROR(IF(EDATE(AP3,12)&lt;(Definitions!$I$34+1),EDATE(AP3,12),""),"")</f>
        <v>60268</v>
      </c>
      <c r="AR3" s="65">
        <f>IFERROR(IF(EDATE(AQ3,12)&lt;(Definitions!$I$34+1),EDATE(AQ3,12),""),"")</f>
        <v>60633</v>
      </c>
      <c r="AS3" s="65">
        <f>IFERROR(IF(EDATE(AR3,12)&lt;(Definitions!$I$34+1),EDATE(AR3,12),""),"")</f>
        <v>60998</v>
      </c>
      <c r="AT3" s="65">
        <f>IFERROR(IF(EDATE(AS3,12)&lt;(Definitions!$I$34+1),EDATE(AS3,12),""),"")</f>
        <v>61363</v>
      </c>
      <c r="AU3" s="65">
        <f>IFERROR(IF(EDATE(AT3,12)&lt;(Definitions!$I$34+1),EDATE(AT3,12),""),"")</f>
        <v>61729</v>
      </c>
      <c r="AV3" s="65">
        <f>IFERROR(IF(EDATE(AU3,12)&lt;(Definitions!$I$34+1),EDATE(AU3,12),""),"")</f>
        <v>62094</v>
      </c>
    </row>
    <row r="4" spans="1:49">
      <c r="A4" s="39" t="str">
        <f>IF(Definitions!H25="","",Definitions!H25)</f>
        <v>PWRCOA001</v>
      </c>
      <c r="B4" t="str">
        <f>IF(Definitions!E25="","",Definitions!E25)</f>
        <v>BAU</v>
      </c>
      <c r="C4" s="104">
        <v>57.042230500000002</v>
      </c>
      <c r="D4" s="104">
        <v>55.0695932</v>
      </c>
      <c r="E4" s="104">
        <v>55.0695932</v>
      </c>
      <c r="F4" s="104">
        <v>55.0695932</v>
      </c>
      <c r="G4" s="104">
        <v>55.0695932</v>
      </c>
      <c r="H4" s="104">
        <v>55.0695932</v>
      </c>
      <c r="I4" s="104">
        <v>53.012406599999998</v>
      </c>
      <c r="J4" s="104">
        <v>53.012406599999998</v>
      </c>
      <c r="K4" s="104">
        <v>51.073696699999999</v>
      </c>
      <c r="L4" s="104">
        <v>47.589404199999997</v>
      </c>
      <c r="M4" s="104">
        <v>44.837513199999997</v>
      </c>
      <c r="N4" s="104">
        <v>44.837513199999997</v>
      </c>
      <c r="O4" s="104">
        <v>44.837513199999997</v>
      </c>
      <c r="P4" s="104">
        <v>44.837513199999997</v>
      </c>
      <c r="Q4" s="104">
        <v>44.837513199999997</v>
      </c>
      <c r="R4" s="104">
        <v>44.837513199999997</v>
      </c>
      <c r="S4" s="104">
        <v>43.932781900000002</v>
      </c>
      <c r="T4" s="104">
        <v>43.932781900000002</v>
      </c>
      <c r="U4" s="104">
        <v>43.932781900000002</v>
      </c>
      <c r="V4" s="104">
        <v>43.932781900000002</v>
      </c>
      <c r="W4" s="104">
        <v>43.932781900000002</v>
      </c>
      <c r="X4" s="104">
        <v>43.932781900000002</v>
      </c>
      <c r="Y4" s="104">
        <v>43.932781900000002</v>
      </c>
      <c r="Z4" s="104">
        <v>43.932781900000002</v>
      </c>
      <c r="AA4" s="104">
        <v>43.932781900000002</v>
      </c>
      <c r="AB4" s="104">
        <v>43.932781900000002</v>
      </c>
      <c r="AC4" s="104">
        <v>43.932781900000002</v>
      </c>
      <c r="AD4" s="104">
        <v>43.932781900000002</v>
      </c>
      <c r="AE4" s="104">
        <v>43.932781900000002</v>
      </c>
      <c r="AF4" s="104">
        <v>43.932781900000002</v>
      </c>
      <c r="AG4" s="104">
        <v>43.932781900000002</v>
      </c>
      <c r="AH4" s="104">
        <v>43.932781900000002</v>
      </c>
      <c r="AI4" s="104">
        <v>43.932781900000002</v>
      </c>
      <c r="AJ4" s="104">
        <v>43.932781900000002</v>
      </c>
      <c r="AK4" s="104">
        <v>43.932781900000002</v>
      </c>
      <c r="AL4" s="104">
        <v>43.932781900000002</v>
      </c>
      <c r="AM4" s="104">
        <v>43.932781900000002</v>
      </c>
      <c r="AN4" s="104">
        <v>43.932781900000002</v>
      </c>
      <c r="AO4" s="104">
        <v>43.932781900000002</v>
      </c>
      <c r="AP4" s="104">
        <v>43.932781900000002</v>
      </c>
      <c r="AQ4" s="104">
        <v>43.932781900000002</v>
      </c>
      <c r="AR4" s="104">
        <v>43.932781900000002</v>
      </c>
      <c r="AS4" s="104">
        <v>43.932781900000002</v>
      </c>
      <c r="AT4" s="104">
        <v>43.932781900000002</v>
      </c>
      <c r="AU4" s="104">
        <v>43.932781900000002</v>
      </c>
      <c r="AV4" s="104">
        <v>43.932781900000002</v>
      </c>
    </row>
    <row r="5" spans="1:49">
      <c r="A5" s="39" t="str">
        <f>IF(Definitions!H25="","",Definitions!H25)</f>
        <v>PWRCOA001</v>
      </c>
      <c r="B5" t="str">
        <f>IF(Definitions!E26="","",Definitions!E26)</f>
        <v>AD_20</v>
      </c>
      <c r="C5" s="104">
        <v>57.042230500000002</v>
      </c>
      <c r="D5" s="104">
        <v>54.457708799999999</v>
      </c>
      <c r="E5" s="104">
        <v>53.845824399999998</v>
      </c>
      <c r="F5" s="104">
        <v>53.233940099999998</v>
      </c>
      <c r="G5" s="104">
        <v>52.622055699999997</v>
      </c>
      <c r="H5" s="104">
        <v>52.010171300000003</v>
      </c>
      <c r="I5" s="104">
        <v>49.4782461</v>
      </c>
      <c r="J5" s="104">
        <v>48.889219400000002</v>
      </c>
      <c r="K5" s="104">
        <v>46.533812500000003</v>
      </c>
      <c r="L5" s="104">
        <v>42.830463700000003</v>
      </c>
      <c r="M5" s="104">
        <v>39.905386700000001</v>
      </c>
      <c r="N5" s="104">
        <v>39.457011600000001</v>
      </c>
      <c r="O5" s="104">
        <v>39.008636500000001</v>
      </c>
      <c r="P5" s="104">
        <v>38.560261300000001</v>
      </c>
      <c r="Q5" s="104">
        <v>38.111886200000001</v>
      </c>
      <c r="R5" s="104">
        <v>37.663511100000001</v>
      </c>
      <c r="S5" s="104">
        <v>36.464208999999997</v>
      </c>
      <c r="T5" s="104">
        <v>36.024881100000002</v>
      </c>
      <c r="U5" s="104">
        <v>35.585553300000001</v>
      </c>
      <c r="V5" s="104">
        <v>35.1462255</v>
      </c>
      <c r="W5" s="104">
        <v>35.1462255</v>
      </c>
      <c r="X5" s="104">
        <v>35.1462255</v>
      </c>
      <c r="Y5" s="104">
        <v>35.1462255</v>
      </c>
      <c r="Z5" s="104">
        <v>35.1462255</v>
      </c>
      <c r="AA5" s="104">
        <v>35.1462255</v>
      </c>
      <c r="AB5" s="104">
        <v>35.1462255</v>
      </c>
      <c r="AC5" s="104">
        <v>35.1462255</v>
      </c>
      <c r="AD5" s="104">
        <v>35.1462255</v>
      </c>
      <c r="AE5" s="104">
        <v>35.1462255</v>
      </c>
      <c r="AF5" s="104">
        <v>35.1462255</v>
      </c>
      <c r="AG5" s="104">
        <v>35.1462255</v>
      </c>
      <c r="AH5" s="104">
        <v>35.1462255</v>
      </c>
      <c r="AI5" s="104">
        <v>35.1462255</v>
      </c>
      <c r="AJ5" s="104">
        <v>35.1462255</v>
      </c>
      <c r="AK5" s="104">
        <v>35.1462255</v>
      </c>
      <c r="AL5" s="104">
        <v>35.1462255</v>
      </c>
      <c r="AM5" s="104">
        <v>35.1462255</v>
      </c>
      <c r="AN5" s="104">
        <v>35.1462255</v>
      </c>
      <c r="AO5" s="104">
        <v>35.1462255</v>
      </c>
      <c r="AP5" s="104">
        <v>35.1462255</v>
      </c>
      <c r="AQ5" s="104">
        <v>35.1462255</v>
      </c>
      <c r="AR5" s="104">
        <v>35.1462255</v>
      </c>
      <c r="AS5" s="104">
        <v>35.1462255</v>
      </c>
      <c r="AT5" s="104">
        <v>35.1462255</v>
      </c>
      <c r="AU5" s="104">
        <v>35.1462255</v>
      </c>
      <c r="AV5" s="104">
        <v>35.1462255</v>
      </c>
    </row>
    <row r="6" spans="1:49">
      <c r="A6" s="39" t="str">
        <f>IF(Definitions!H25="","",Definitions!H25)</f>
        <v>PWRCOA001</v>
      </c>
      <c r="B6" t="str">
        <f>IF(Definitions!E27="","",Definitions!E27)</f>
        <v>AD_40</v>
      </c>
      <c r="C6" s="104">
        <v>57.042230500000002</v>
      </c>
      <c r="D6" s="104">
        <v>53.845824399999998</v>
      </c>
      <c r="E6" s="104">
        <v>52.622055699999997</v>
      </c>
      <c r="F6" s="104">
        <v>51.398287000000003</v>
      </c>
      <c r="G6" s="104">
        <v>50.174518200000001</v>
      </c>
      <c r="H6" s="104">
        <v>48.950749500000001</v>
      </c>
      <c r="I6" s="104">
        <v>45.944085700000002</v>
      </c>
      <c r="J6" s="104">
        <v>44.766032199999998</v>
      </c>
      <c r="K6" s="104">
        <v>41.993928400000001</v>
      </c>
      <c r="L6" s="104">
        <v>38.071523300000003</v>
      </c>
      <c r="M6" s="104">
        <v>34.9732603</v>
      </c>
      <c r="N6" s="104">
        <v>34.076509999999999</v>
      </c>
      <c r="O6" s="104">
        <v>33.179759699999998</v>
      </c>
      <c r="P6" s="104">
        <v>32.283009499999999</v>
      </c>
      <c r="Q6" s="104">
        <v>31.386259200000001</v>
      </c>
      <c r="R6" s="104">
        <v>30.489509000000002</v>
      </c>
      <c r="S6" s="104">
        <v>28.995636000000001</v>
      </c>
      <c r="T6" s="104">
        <v>28.116980399999999</v>
      </c>
      <c r="U6" s="104">
        <v>27.238324800000001</v>
      </c>
      <c r="V6" s="104">
        <v>26.359669100000001</v>
      </c>
      <c r="W6" s="104">
        <v>26.359669100000001</v>
      </c>
      <c r="X6" s="104">
        <v>26.359669100000001</v>
      </c>
      <c r="Y6" s="104">
        <v>26.359669100000001</v>
      </c>
      <c r="Z6" s="104">
        <v>26.359669100000001</v>
      </c>
      <c r="AA6" s="104">
        <v>26.359669100000001</v>
      </c>
      <c r="AB6" s="104">
        <v>26.359669100000001</v>
      </c>
      <c r="AC6" s="104">
        <v>26.359669100000001</v>
      </c>
      <c r="AD6" s="104">
        <v>26.359669100000001</v>
      </c>
      <c r="AE6" s="104">
        <v>26.359669100000001</v>
      </c>
      <c r="AF6" s="104">
        <v>26.359669100000001</v>
      </c>
      <c r="AG6" s="104">
        <v>26.359669100000001</v>
      </c>
      <c r="AH6" s="104">
        <v>26.359669100000001</v>
      </c>
      <c r="AI6" s="104">
        <v>26.359669100000001</v>
      </c>
      <c r="AJ6" s="104">
        <v>26.359669100000001</v>
      </c>
      <c r="AK6" s="104">
        <v>26.359669100000001</v>
      </c>
      <c r="AL6" s="104">
        <v>26.359669100000001</v>
      </c>
      <c r="AM6" s="104">
        <v>26.359669100000001</v>
      </c>
      <c r="AN6" s="104">
        <v>26.359669100000001</v>
      </c>
      <c r="AO6" s="104">
        <v>26.359669100000001</v>
      </c>
      <c r="AP6" s="104">
        <v>26.359669100000001</v>
      </c>
      <c r="AQ6" s="104">
        <v>26.359669100000001</v>
      </c>
      <c r="AR6" s="104">
        <v>26.359669100000001</v>
      </c>
      <c r="AS6" s="104">
        <v>26.359669100000001</v>
      </c>
      <c r="AT6" s="104">
        <v>26.359669100000001</v>
      </c>
      <c r="AU6" s="104">
        <v>26.359669100000001</v>
      </c>
      <c r="AV6" s="104">
        <v>26.359669100000001</v>
      </c>
    </row>
    <row r="7" spans="1:49">
      <c r="A7" s="39" t="str">
        <f>IF(Definitions!H25="","",Definitions!H25)</f>
        <v>PWRCOA001</v>
      </c>
      <c r="B7" t="str">
        <f>IF(Definitions!E28="","",Definitions!E28)</f>
        <v>AD_60</v>
      </c>
      <c r="C7" s="104">
        <v>57.042230500000002</v>
      </c>
      <c r="D7" s="104">
        <v>53.233940099999998</v>
      </c>
      <c r="E7" s="104">
        <v>51.398287000000003</v>
      </c>
      <c r="F7" s="104">
        <v>49.562633900000002</v>
      </c>
      <c r="G7" s="104">
        <v>47.7269808</v>
      </c>
      <c r="H7" s="104">
        <v>45.891327599999997</v>
      </c>
      <c r="I7" s="104">
        <v>42.409925299999998</v>
      </c>
      <c r="J7" s="104">
        <v>40.642845000000001</v>
      </c>
      <c r="K7" s="104">
        <v>37.454044199999998</v>
      </c>
      <c r="L7" s="104">
        <v>33.312582900000002</v>
      </c>
      <c r="M7" s="104">
        <v>30.041133800000001</v>
      </c>
      <c r="N7" s="104">
        <v>28.6960084</v>
      </c>
      <c r="O7" s="104">
        <v>27.350883</v>
      </c>
      <c r="P7" s="104">
        <v>26.005757599999999</v>
      </c>
      <c r="Q7" s="104">
        <v>24.660632199999998</v>
      </c>
      <c r="R7" s="104">
        <v>23.315506800000001</v>
      </c>
      <c r="S7" s="104">
        <v>21.527063099999999</v>
      </c>
      <c r="T7" s="104">
        <v>20.2090797</v>
      </c>
      <c r="U7" s="104">
        <v>18.8910962</v>
      </c>
      <c r="V7" s="104">
        <v>17.573112800000001</v>
      </c>
      <c r="W7" s="104">
        <v>17.573112800000001</v>
      </c>
      <c r="X7" s="104">
        <v>17.573112800000001</v>
      </c>
      <c r="Y7" s="104">
        <v>17.573112800000001</v>
      </c>
      <c r="Z7" s="104">
        <v>17.573112800000001</v>
      </c>
      <c r="AA7" s="104">
        <v>17.573112800000001</v>
      </c>
      <c r="AB7" s="104">
        <v>17.573112800000001</v>
      </c>
      <c r="AC7" s="104">
        <v>17.573112800000001</v>
      </c>
      <c r="AD7" s="104">
        <v>17.573112800000001</v>
      </c>
      <c r="AE7" s="104">
        <v>17.573112800000001</v>
      </c>
      <c r="AF7" s="104">
        <v>17.573112800000001</v>
      </c>
      <c r="AG7" s="104">
        <v>17.573112800000001</v>
      </c>
      <c r="AH7" s="104">
        <v>17.573112800000001</v>
      </c>
      <c r="AI7" s="104">
        <v>17.573112800000001</v>
      </c>
      <c r="AJ7" s="104">
        <v>17.573112800000001</v>
      </c>
      <c r="AK7" s="104">
        <v>17.573112800000001</v>
      </c>
      <c r="AL7" s="104">
        <v>17.573112800000001</v>
      </c>
      <c r="AM7" s="104">
        <v>17.573112800000001</v>
      </c>
      <c r="AN7" s="104">
        <v>17.573112800000001</v>
      </c>
      <c r="AO7" s="104">
        <v>17.573112800000001</v>
      </c>
      <c r="AP7" s="104">
        <v>17.573112800000001</v>
      </c>
      <c r="AQ7" s="104">
        <v>17.573112800000001</v>
      </c>
      <c r="AR7" s="104">
        <v>17.573112800000001</v>
      </c>
      <c r="AS7" s="104">
        <v>17.573112800000001</v>
      </c>
      <c r="AT7" s="104">
        <v>17.573112800000001</v>
      </c>
      <c r="AU7" s="104">
        <v>17.573112800000001</v>
      </c>
      <c r="AV7" s="104">
        <v>17.573112800000001</v>
      </c>
    </row>
    <row r="8" spans="1:49">
      <c r="A8" s="39" t="str">
        <f>IF(Definitions!H25="","",Definitions!H25)</f>
        <v>PWRCOA001</v>
      </c>
      <c r="B8" t="str">
        <f>IF(Definitions!E29="","",Definitions!E29)</f>
        <v>AD_80</v>
      </c>
      <c r="C8" s="104">
        <v>57.042230500000002</v>
      </c>
      <c r="D8" s="104">
        <v>52.622055699999997</v>
      </c>
      <c r="E8" s="104">
        <v>50.174518200000001</v>
      </c>
      <c r="F8" s="104">
        <v>47.7269808</v>
      </c>
      <c r="G8" s="104">
        <v>45.279443299999997</v>
      </c>
      <c r="H8" s="104">
        <v>42.831905800000001</v>
      </c>
      <c r="I8" s="104">
        <v>38.875764799999999</v>
      </c>
      <c r="J8" s="104">
        <v>36.519657899999999</v>
      </c>
      <c r="K8" s="104">
        <v>32.914160099999997</v>
      </c>
      <c r="L8" s="104">
        <v>28.553642499999999</v>
      </c>
      <c r="M8" s="104">
        <v>25.109007399999999</v>
      </c>
      <c r="N8" s="104">
        <v>23.315506800000001</v>
      </c>
      <c r="O8" s="104">
        <v>21.522006300000001</v>
      </c>
      <c r="P8" s="104">
        <v>19.728505800000001</v>
      </c>
      <c r="Q8" s="104">
        <v>17.9350053</v>
      </c>
      <c r="R8" s="104">
        <v>16.141504699999999</v>
      </c>
      <c r="S8" s="104">
        <v>14.0584902</v>
      </c>
      <c r="T8" s="104">
        <v>12.3011789</v>
      </c>
      <c r="U8" s="104">
        <v>10.5438677</v>
      </c>
      <c r="V8" s="104">
        <v>8.7865563800000004</v>
      </c>
      <c r="W8" s="104">
        <v>8.7865563800000004</v>
      </c>
      <c r="X8" s="104">
        <v>8.7865563800000004</v>
      </c>
      <c r="Y8" s="104">
        <v>8.7865563800000004</v>
      </c>
      <c r="Z8" s="104">
        <v>8.7865563800000004</v>
      </c>
      <c r="AA8" s="104">
        <v>8.7865563800000004</v>
      </c>
      <c r="AB8" s="104">
        <v>8.7865563800000004</v>
      </c>
      <c r="AC8" s="104">
        <v>8.7865563800000004</v>
      </c>
      <c r="AD8" s="104">
        <v>8.7865563800000004</v>
      </c>
      <c r="AE8" s="104">
        <v>8.7865563800000004</v>
      </c>
      <c r="AF8" s="104">
        <v>8.7865563800000004</v>
      </c>
      <c r="AG8" s="104">
        <v>8.7865563800000004</v>
      </c>
      <c r="AH8" s="104">
        <v>8.7865563800000004</v>
      </c>
      <c r="AI8" s="104">
        <v>8.7865563800000004</v>
      </c>
      <c r="AJ8" s="104">
        <v>8.7865563800000004</v>
      </c>
      <c r="AK8" s="104">
        <v>8.7865563800000004</v>
      </c>
      <c r="AL8" s="104">
        <v>8.7865563800000004</v>
      </c>
      <c r="AM8" s="104">
        <v>8.7865563800000004</v>
      </c>
      <c r="AN8" s="104">
        <v>8.7865563800000004</v>
      </c>
      <c r="AO8" s="104">
        <v>8.7865563800000004</v>
      </c>
      <c r="AP8" s="104">
        <v>8.7865563800000004</v>
      </c>
      <c r="AQ8" s="104">
        <v>8.7865563800000004</v>
      </c>
      <c r="AR8" s="104">
        <v>8.7865563800000004</v>
      </c>
      <c r="AS8" s="104">
        <v>8.7865563800000004</v>
      </c>
      <c r="AT8" s="104">
        <v>8.7865563800000004</v>
      </c>
      <c r="AU8" s="104">
        <v>8.7865563800000004</v>
      </c>
      <c r="AV8" s="104">
        <v>8.7865563800000004</v>
      </c>
    </row>
    <row r="9" spans="1:49">
      <c r="A9" s="39" t="str">
        <f>IF(Definitions!H25="","",Definitions!H25)</f>
        <v>PWRCOA001</v>
      </c>
      <c r="B9" t="str">
        <f>IF(Definitions!E30="","",Definitions!E30)</f>
        <v xml:space="preserve"> </v>
      </c>
    </row>
    <row r="10" spans="1:49">
      <c r="A10" s="39" t="str">
        <f>IF(Definitions!H25="","",Definitions!H25)</f>
        <v>PWRCOA001</v>
      </c>
      <c r="B10" t="str">
        <f>IF(Definitions!E31="","",Definitions!E31)</f>
        <v/>
      </c>
    </row>
    <row r="11" spans="1:49">
      <c r="A11" s="39" t="str">
        <f>IF(Definitions!H26="","",Definitions!H26)</f>
        <v>PWROHC001</v>
      </c>
      <c r="B11" t="str">
        <f>IF(Definitions!E25="","",Definitions!E25)</f>
        <v>BAU</v>
      </c>
      <c r="C11">
        <v>57.042230500000002</v>
      </c>
      <c r="D11">
        <v>55.0695932</v>
      </c>
      <c r="E11">
        <v>55.0695932</v>
      </c>
      <c r="F11">
        <v>55.0695932</v>
      </c>
      <c r="G11">
        <v>55.0695932</v>
      </c>
      <c r="H11">
        <v>55.0695932</v>
      </c>
      <c r="I11">
        <v>53.012406599999998</v>
      </c>
      <c r="J11">
        <v>53.012406599999998</v>
      </c>
      <c r="K11">
        <v>51.073696699999999</v>
      </c>
      <c r="L11">
        <v>47.589404199999997</v>
      </c>
      <c r="M11">
        <v>44.837513199999997</v>
      </c>
      <c r="N11">
        <v>44.837513199999997</v>
      </c>
      <c r="O11">
        <v>44.837513199999997</v>
      </c>
      <c r="P11">
        <v>44.837513199999997</v>
      </c>
      <c r="Q11">
        <v>44.837513199999997</v>
      </c>
      <c r="R11">
        <v>44.837513199999997</v>
      </c>
      <c r="S11">
        <v>43.932781900000002</v>
      </c>
      <c r="T11">
        <v>43.932781900000002</v>
      </c>
      <c r="U11">
        <v>43.932781900000002</v>
      </c>
      <c r="V11">
        <v>43.932781900000002</v>
      </c>
      <c r="W11">
        <v>43.932781900000002</v>
      </c>
      <c r="X11">
        <v>43.932781900000002</v>
      </c>
      <c r="Y11">
        <v>43.932781900000002</v>
      </c>
      <c r="Z11">
        <v>43.932781900000002</v>
      </c>
      <c r="AA11">
        <v>43.932781900000002</v>
      </c>
      <c r="AB11">
        <v>43.932781900000002</v>
      </c>
      <c r="AC11">
        <v>43.932781900000002</v>
      </c>
      <c r="AD11">
        <v>43.932781900000002</v>
      </c>
      <c r="AE11">
        <v>43.932781900000002</v>
      </c>
      <c r="AF11">
        <v>43.932781900000002</v>
      </c>
      <c r="AG11">
        <v>43.932781900000002</v>
      </c>
      <c r="AH11">
        <v>43.932781900000002</v>
      </c>
      <c r="AI11">
        <v>43.932781900000002</v>
      </c>
      <c r="AJ11">
        <v>43.932781900000002</v>
      </c>
      <c r="AK11">
        <v>43.932781900000002</v>
      </c>
      <c r="AL11">
        <v>43.932781900000002</v>
      </c>
      <c r="AM11">
        <v>43.932781900000002</v>
      </c>
      <c r="AN11">
        <v>43.932781900000002</v>
      </c>
      <c r="AO11">
        <v>43.932781900000002</v>
      </c>
      <c r="AP11">
        <v>43.932781900000002</v>
      </c>
      <c r="AQ11">
        <v>43.932781900000002</v>
      </c>
      <c r="AR11">
        <v>43.932781900000002</v>
      </c>
      <c r="AS11">
        <v>43.932781900000002</v>
      </c>
      <c r="AT11">
        <v>43.932781900000002</v>
      </c>
      <c r="AU11">
        <v>43.932781900000002</v>
      </c>
      <c r="AV11">
        <v>43.932781900000002</v>
      </c>
    </row>
    <row r="12" spans="1:49">
      <c r="A12" s="39" t="str">
        <f>IF(Definitions!H26="","",Definitions!H26)</f>
        <v>PWROHC001</v>
      </c>
      <c r="B12" t="str">
        <f>IF(Definitions!E26="","",Definitions!E26)</f>
        <v>AD_20</v>
      </c>
      <c r="C12">
        <v>57.042230500000002</v>
      </c>
      <c r="D12">
        <v>54.457708799999999</v>
      </c>
      <c r="E12">
        <v>53.845824399999998</v>
      </c>
      <c r="F12">
        <v>53.233940099999998</v>
      </c>
      <c r="G12">
        <v>52.622055699999997</v>
      </c>
      <c r="H12">
        <v>52.010171300000003</v>
      </c>
      <c r="I12">
        <v>49.4782461</v>
      </c>
      <c r="J12">
        <v>48.889219400000002</v>
      </c>
      <c r="K12">
        <v>46.533812500000003</v>
      </c>
      <c r="L12">
        <v>42.830463700000003</v>
      </c>
      <c r="M12">
        <v>39.905386700000001</v>
      </c>
      <c r="N12">
        <v>39.457011600000001</v>
      </c>
      <c r="O12">
        <v>39.008636500000001</v>
      </c>
      <c r="P12">
        <v>38.560261300000001</v>
      </c>
      <c r="Q12">
        <v>38.111886200000001</v>
      </c>
      <c r="R12">
        <v>37.663511100000001</v>
      </c>
      <c r="S12">
        <v>36.464208999999997</v>
      </c>
      <c r="T12">
        <v>36.024881100000002</v>
      </c>
      <c r="U12">
        <v>35.585553300000001</v>
      </c>
      <c r="V12">
        <v>35.1462255</v>
      </c>
      <c r="W12">
        <v>35.1462255</v>
      </c>
      <c r="X12">
        <v>35.1462255</v>
      </c>
      <c r="Y12">
        <v>35.1462255</v>
      </c>
      <c r="Z12">
        <v>35.1462255</v>
      </c>
      <c r="AA12">
        <v>35.1462255</v>
      </c>
      <c r="AB12">
        <v>35.1462255</v>
      </c>
      <c r="AC12">
        <v>35.1462255</v>
      </c>
      <c r="AD12">
        <v>35.1462255</v>
      </c>
      <c r="AE12">
        <v>35.1462255</v>
      </c>
      <c r="AF12">
        <v>35.1462255</v>
      </c>
      <c r="AG12">
        <v>35.1462255</v>
      </c>
      <c r="AH12">
        <v>35.1462255</v>
      </c>
      <c r="AI12">
        <v>35.1462255</v>
      </c>
      <c r="AJ12">
        <v>35.1462255</v>
      </c>
      <c r="AK12">
        <v>35.1462255</v>
      </c>
      <c r="AL12">
        <v>35.1462255</v>
      </c>
      <c r="AM12">
        <v>35.1462255</v>
      </c>
      <c r="AN12">
        <v>35.1462255</v>
      </c>
      <c r="AO12">
        <v>35.1462255</v>
      </c>
      <c r="AP12">
        <v>35.1462255</v>
      </c>
      <c r="AQ12">
        <v>35.1462255</v>
      </c>
      <c r="AR12">
        <v>35.1462255</v>
      </c>
      <c r="AS12">
        <v>35.1462255</v>
      </c>
      <c r="AT12">
        <v>35.1462255</v>
      </c>
      <c r="AU12">
        <v>35.1462255</v>
      </c>
      <c r="AV12">
        <v>35.1462255</v>
      </c>
    </row>
    <row r="13" spans="1:49">
      <c r="A13" s="39" t="str">
        <f>IF(Definitions!H26="","",Definitions!H26)</f>
        <v>PWROHC001</v>
      </c>
      <c r="B13" t="str">
        <f>IF(Definitions!E27="","",Definitions!E27)</f>
        <v>AD_40</v>
      </c>
      <c r="C13">
        <v>57.042230500000002</v>
      </c>
      <c r="D13">
        <v>53.845824399999998</v>
      </c>
      <c r="E13">
        <v>52.622055699999997</v>
      </c>
      <c r="F13">
        <v>51.398287000000003</v>
      </c>
      <c r="G13">
        <v>50.174518200000001</v>
      </c>
      <c r="H13">
        <v>48.950749500000001</v>
      </c>
      <c r="I13">
        <v>45.944085700000002</v>
      </c>
      <c r="J13">
        <v>44.766032199999998</v>
      </c>
      <c r="K13">
        <v>41.993928400000001</v>
      </c>
      <c r="L13">
        <v>38.071523300000003</v>
      </c>
      <c r="M13">
        <v>34.9732603</v>
      </c>
      <c r="N13">
        <v>34.076509999999999</v>
      </c>
      <c r="O13">
        <v>33.179759699999998</v>
      </c>
      <c r="P13">
        <v>32.283009499999999</v>
      </c>
      <c r="Q13">
        <v>31.386259200000001</v>
      </c>
      <c r="R13">
        <v>30.489509000000002</v>
      </c>
      <c r="S13">
        <v>28.995636000000001</v>
      </c>
      <c r="T13">
        <v>28.116980399999999</v>
      </c>
      <c r="U13">
        <v>27.238324800000001</v>
      </c>
      <c r="V13">
        <v>26.359669100000001</v>
      </c>
      <c r="W13">
        <v>26.359669100000001</v>
      </c>
      <c r="X13">
        <v>26.359669100000001</v>
      </c>
      <c r="Y13">
        <v>26.359669100000001</v>
      </c>
      <c r="Z13">
        <v>26.359669100000001</v>
      </c>
      <c r="AA13">
        <v>26.359669100000001</v>
      </c>
      <c r="AB13">
        <v>26.359669100000001</v>
      </c>
      <c r="AC13">
        <v>26.359669100000001</v>
      </c>
      <c r="AD13">
        <v>26.359669100000001</v>
      </c>
      <c r="AE13">
        <v>26.359669100000001</v>
      </c>
      <c r="AF13">
        <v>26.359669100000001</v>
      </c>
      <c r="AG13">
        <v>26.359669100000001</v>
      </c>
      <c r="AH13">
        <v>26.359669100000001</v>
      </c>
      <c r="AI13">
        <v>26.359669100000001</v>
      </c>
      <c r="AJ13">
        <v>26.359669100000001</v>
      </c>
      <c r="AK13">
        <v>26.359669100000001</v>
      </c>
      <c r="AL13">
        <v>26.359669100000001</v>
      </c>
      <c r="AM13">
        <v>26.359669100000001</v>
      </c>
      <c r="AN13">
        <v>26.359669100000001</v>
      </c>
      <c r="AO13">
        <v>26.359669100000001</v>
      </c>
      <c r="AP13">
        <v>26.359669100000001</v>
      </c>
      <c r="AQ13">
        <v>26.359669100000001</v>
      </c>
      <c r="AR13">
        <v>26.359669100000001</v>
      </c>
      <c r="AS13">
        <v>26.359669100000001</v>
      </c>
      <c r="AT13">
        <v>26.359669100000001</v>
      </c>
      <c r="AU13">
        <v>26.359669100000001</v>
      </c>
      <c r="AV13">
        <v>26.359669100000001</v>
      </c>
    </row>
    <row r="14" spans="1:49">
      <c r="A14" s="39" t="str">
        <f>IF(Definitions!H26="","",Definitions!H26)</f>
        <v>PWROHC001</v>
      </c>
      <c r="B14" t="str">
        <f>IF(Definitions!E28="","",Definitions!E28)</f>
        <v>AD_60</v>
      </c>
      <c r="C14">
        <v>57.042230500000002</v>
      </c>
      <c r="D14">
        <v>53.233940099999998</v>
      </c>
      <c r="E14">
        <v>51.398287000000003</v>
      </c>
      <c r="F14">
        <v>49.562633900000002</v>
      </c>
      <c r="G14">
        <v>47.7269808</v>
      </c>
      <c r="H14">
        <v>45.891327599999997</v>
      </c>
      <c r="I14">
        <v>42.409925299999998</v>
      </c>
      <c r="J14">
        <v>40.642845000000001</v>
      </c>
      <c r="K14">
        <v>37.454044199999998</v>
      </c>
      <c r="L14">
        <v>33.312582900000002</v>
      </c>
      <c r="M14">
        <v>30.041133800000001</v>
      </c>
      <c r="N14">
        <v>28.6960084</v>
      </c>
      <c r="O14">
        <v>27.350883</v>
      </c>
      <c r="P14">
        <v>26.005757599999999</v>
      </c>
      <c r="Q14">
        <v>24.660632199999998</v>
      </c>
      <c r="R14">
        <v>23.315506800000001</v>
      </c>
      <c r="S14">
        <v>21.527063099999999</v>
      </c>
      <c r="T14">
        <v>20.2090797</v>
      </c>
      <c r="U14">
        <v>18.8910962</v>
      </c>
      <c r="V14">
        <v>17.573112800000001</v>
      </c>
      <c r="W14">
        <v>17.573112800000001</v>
      </c>
      <c r="X14">
        <v>17.573112800000001</v>
      </c>
      <c r="Y14">
        <v>17.573112800000001</v>
      </c>
      <c r="Z14">
        <v>17.573112800000001</v>
      </c>
      <c r="AA14">
        <v>17.573112800000001</v>
      </c>
      <c r="AB14">
        <v>17.573112800000001</v>
      </c>
      <c r="AC14">
        <v>17.573112800000001</v>
      </c>
      <c r="AD14">
        <v>17.573112800000001</v>
      </c>
      <c r="AE14">
        <v>17.573112800000001</v>
      </c>
      <c r="AF14">
        <v>17.573112800000001</v>
      </c>
      <c r="AG14">
        <v>17.573112800000001</v>
      </c>
      <c r="AH14">
        <v>17.573112800000001</v>
      </c>
      <c r="AI14">
        <v>17.573112800000001</v>
      </c>
      <c r="AJ14">
        <v>17.573112800000001</v>
      </c>
      <c r="AK14">
        <v>17.573112800000001</v>
      </c>
      <c r="AL14">
        <v>17.573112800000001</v>
      </c>
      <c r="AM14">
        <v>17.573112800000001</v>
      </c>
      <c r="AN14">
        <v>17.573112800000001</v>
      </c>
      <c r="AO14">
        <v>17.573112800000001</v>
      </c>
      <c r="AP14">
        <v>17.573112800000001</v>
      </c>
      <c r="AQ14">
        <v>17.573112800000001</v>
      </c>
      <c r="AR14">
        <v>17.573112800000001</v>
      </c>
      <c r="AS14">
        <v>17.573112800000001</v>
      </c>
      <c r="AT14">
        <v>17.573112800000001</v>
      </c>
      <c r="AU14">
        <v>17.573112800000001</v>
      </c>
      <c r="AV14">
        <v>17.573112800000001</v>
      </c>
    </row>
    <row r="15" spans="1:49">
      <c r="A15" s="39" t="str">
        <f>IF(Definitions!H26="","",Definitions!H26)</f>
        <v>PWROHC001</v>
      </c>
      <c r="B15" t="str">
        <f>IF(Definitions!E29="","",Definitions!E29)</f>
        <v>AD_80</v>
      </c>
      <c r="C15">
        <v>57.042230500000002</v>
      </c>
      <c r="D15">
        <v>52.622055699999997</v>
      </c>
      <c r="E15">
        <v>50.174518200000001</v>
      </c>
      <c r="F15">
        <v>47.7269808</v>
      </c>
      <c r="G15">
        <v>45.279443299999997</v>
      </c>
      <c r="H15">
        <v>42.831905800000001</v>
      </c>
      <c r="I15">
        <v>38.875764799999999</v>
      </c>
      <c r="J15">
        <v>36.519657899999999</v>
      </c>
      <c r="K15">
        <v>32.914160099999997</v>
      </c>
      <c r="L15">
        <v>28.553642499999999</v>
      </c>
      <c r="M15">
        <v>25.109007399999999</v>
      </c>
      <c r="N15">
        <v>23.315506800000001</v>
      </c>
      <c r="O15">
        <v>21.522006300000001</v>
      </c>
      <c r="P15">
        <v>19.728505800000001</v>
      </c>
      <c r="Q15">
        <v>17.9350053</v>
      </c>
      <c r="R15">
        <v>16.141504699999999</v>
      </c>
      <c r="S15">
        <v>14.0584902</v>
      </c>
      <c r="T15">
        <v>12.3011789</v>
      </c>
      <c r="U15">
        <v>10.5438677</v>
      </c>
      <c r="V15">
        <v>8.7865563800000004</v>
      </c>
      <c r="W15">
        <v>8.7865563800000004</v>
      </c>
      <c r="X15">
        <v>8.7865563800000004</v>
      </c>
      <c r="Y15">
        <v>8.7865563800000004</v>
      </c>
      <c r="Z15">
        <v>8.7865563800000004</v>
      </c>
      <c r="AA15">
        <v>8.7865563800000004</v>
      </c>
      <c r="AB15">
        <v>8.7865563800000004</v>
      </c>
      <c r="AC15">
        <v>8.7865563800000004</v>
      </c>
      <c r="AD15">
        <v>8.7865563800000004</v>
      </c>
      <c r="AE15">
        <v>8.7865563800000004</v>
      </c>
      <c r="AF15">
        <v>8.7865563800000004</v>
      </c>
      <c r="AG15">
        <v>8.7865563800000004</v>
      </c>
      <c r="AH15">
        <v>8.7865563800000004</v>
      </c>
      <c r="AI15">
        <v>8.7865563800000004</v>
      </c>
      <c r="AJ15">
        <v>8.7865563800000004</v>
      </c>
      <c r="AK15">
        <v>8.7865563800000004</v>
      </c>
      <c r="AL15">
        <v>8.7865563800000004</v>
      </c>
      <c r="AM15">
        <v>8.7865563800000004</v>
      </c>
      <c r="AN15">
        <v>8.7865563800000004</v>
      </c>
      <c r="AO15">
        <v>8.7865563800000004</v>
      </c>
      <c r="AP15">
        <v>8.7865563800000004</v>
      </c>
      <c r="AQ15">
        <v>8.7865563800000004</v>
      </c>
      <c r="AR15">
        <v>8.7865563800000004</v>
      </c>
      <c r="AS15">
        <v>8.7865563800000004</v>
      </c>
      <c r="AT15">
        <v>8.7865563800000004</v>
      </c>
      <c r="AU15">
        <v>8.7865563800000004</v>
      </c>
      <c r="AV15">
        <v>8.7865563800000004</v>
      </c>
    </row>
    <row r="16" spans="1:49">
      <c r="A16" s="39" t="str">
        <f>IF(Definitions!H26="","",Definitions!H26)</f>
        <v>PWROHC001</v>
      </c>
      <c r="B16" t="str">
        <f>IF(Definitions!E30="","",Definitions!E30)</f>
        <v xml:space="preserve"> </v>
      </c>
    </row>
    <row r="17" spans="1:2">
      <c r="A17" s="39" t="str">
        <f>IF(Definitions!H26="","",Definitions!H26)</f>
        <v>PWROHC001</v>
      </c>
      <c r="B17" t="str">
        <f>IF(Definitions!E31="","",Definitions!E31)</f>
        <v/>
      </c>
    </row>
    <row r="18" spans="1:2">
      <c r="A18" s="39" t="str">
        <f>IF(Definitions!H27="","",Definitions!H27)</f>
        <v>PWROHC002</v>
      </c>
    </row>
    <row r="19" spans="1:2">
      <c r="A19" s="39" t="str">
        <f>IF(Definitions!H27="","",Definitions!H27)</f>
        <v>PWROHC002</v>
      </c>
    </row>
    <row r="20" spans="1:2">
      <c r="A20" s="39" t="str">
        <f>IF(Definitions!H27="","",Definitions!H27)</f>
        <v>PWROHC002</v>
      </c>
    </row>
    <row r="21" spans="1:2">
      <c r="A21" s="39" t="str">
        <f>IF(Definitions!H27="","",Definitions!H27)</f>
        <v>PWROHC002</v>
      </c>
    </row>
    <row r="22" spans="1:2">
      <c r="A22" s="39" t="str">
        <f>IF(Definitions!H27="","",Definitions!H27)</f>
        <v>PWROHC002</v>
      </c>
    </row>
    <row r="23" spans="1:2">
      <c r="A23" s="39" t="str">
        <f>IF(Definitions!H27="","",Definitions!H27)</f>
        <v>PWROHC002</v>
      </c>
    </row>
    <row r="24" spans="1:2">
      <c r="A24" s="39" t="str">
        <f>IF(Definitions!H27="","",Definitions!H27)</f>
        <v>PWROHC002</v>
      </c>
    </row>
    <row r="25" spans="1:2">
      <c r="A25" s="39" t="str">
        <f>IF(Definitions!H28="","",Definitions!H28)</f>
        <v>PWRNGS001</v>
      </c>
    </row>
    <row r="26" spans="1:2">
      <c r="A26" s="39" t="str">
        <f>IF(Definitions!H28="","",Definitions!H28)</f>
        <v>PWRNGS001</v>
      </c>
    </row>
    <row r="27" spans="1:2">
      <c r="A27" s="39" t="str">
        <f>IF(Definitions!H28="","",Definitions!H28)</f>
        <v>PWRNGS001</v>
      </c>
    </row>
    <row r="28" spans="1:2">
      <c r="A28" s="39" t="str">
        <f>IF(Definitions!H28="","",Definitions!H28)</f>
        <v>PWRNGS001</v>
      </c>
    </row>
    <row r="29" spans="1:2">
      <c r="A29" s="39" t="str">
        <f>IF(Definitions!H28="","",Definitions!H28)</f>
        <v>PWRNGS001</v>
      </c>
    </row>
    <row r="30" spans="1:2">
      <c r="A30" s="39" t="str">
        <f>IF(Definitions!H28="","",Definitions!H28)</f>
        <v>PWRNGS001</v>
      </c>
    </row>
    <row r="31" spans="1:2">
      <c r="A31" s="39" t="str">
        <f>IF(Definitions!H28="","",Definitions!H28)</f>
        <v>PWRNGS001</v>
      </c>
    </row>
    <row r="32" spans="1:2">
      <c r="A32" s="39" t="str">
        <f>IF(Definitions!H29="","",Definitions!H29)</f>
        <v>PWRNGS002</v>
      </c>
    </row>
    <row r="33" spans="1:1">
      <c r="A33" s="39" t="str">
        <f>IF(Definitions!H29="","",Definitions!H29)</f>
        <v>PWRNGS002</v>
      </c>
    </row>
    <row r="34" spans="1:1">
      <c r="A34" s="39" t="str">
        <f>IF(Definitions!H29="","",Definitions!H29)</f>
        <v>PWRNGS002</v>
      </c>
    </row>
    <row r="35" spans="1:1">
      <c r="A35" s="39" t="str">
        <f>IF(Definitions!H29="","",Definitions!H29)</f>
        <v>PWRNGS002</v>
      </c>
    </row>
    <row r="36" spans="1:1">
      <c r="A36" s="39" t="str">
        <f>IF(Definitions!H29="","",Definitions!H29)</f>
        <v>PWRNGS002</v>
      </c>
    </row>
    <row r="37" spans="1:1">
      <c r="A37" s="39" t="str">
        <f>IF(Definitions!H29="","",Definitions!H29)</f>
        <v>PWRNGS002</v>
      </c>
    </row>
    <row r="38" spans="1:1">
      <c r="A38" s="39" t="str">
        <f>IF(Definitions!H29="","",Definitions!H29)</f>
        <v>PWRNGS002</v>
      </c>
    </row>
    <row r="39" spans="1:1">
      <c r="A39" s="39" t="str">
        <f>IF(Definitions!H30="","",Definitions!H30)</f>
        <v>PWROHC003</v>
      </c>
    </row>
    <row r="40" spans="1:1">
      <c r="A40" s="39" t="str">
        <f>IF(Definitions!H30="","",Definitions!H30)</f>
        <v>PWROHC003</v>
      </c>
    </row>
    <row r="41" spans="1:1">
      <c r="A41" s="39" t="str">
        <f>IF(Definitions!H30="","",Definitions!H30)</f>
        <v>PWROHC003</v>
      </c>
    </row>
    <row r="42" spans="1:1">
      <c r="A42" s="39" t="str">
        <f>IF(Definitions!H30="","",Definitions!H30)</f>
        <v>PWROHC003</v>
      </c>
    </row>
    <row r="43" spans="1:1">
      <c r="A43" s="39" t="str">
        <f>IF(Definitions!H30="","",Definitions!H30)</f>
        <v>PWROHC003</v>
      </c>
    </row>
    <row r="44" spans="1:1">
      <c r="A44" s="39" t="str">
        <f>IF(Definitions!H30="","",Definitions!H30)</f>
        <v>PWROHC003</v>
      </c>
    </row>
    <row r="45" spans="1:1">
      <c r="A45" s="39" t="str">
        <f>IF(Definitions!H30="","",Definitions!H30)</f>
        <v>PWROHC003</v>
      </c>
    </row>
    <row r="46" spans="1:1">
      <c r="A46" s="39" t="str">
        <f>IF(Definitions!H31="","",Definitions!H31)</f>
        <v/>
      </c>
    </row>
    <row r="47" spans="1:1">
      <c r="A47" s="39" t="str">
        <f>IF(Definitions!H31="","",Definitions!H31)</f>
        <v/>
      </c>
    </row>
    <row r="48" spans="1:1">
      <c r="A48" s="39" t="str">
        <f>IF(Definitions!H31="","",Definitions!H31)</f>
        <v/>
      </c>
    </row>
    <row r="49" spans="1:2">
      <c r="A49" s="39" t="str">
        <f>IF(Definitions!H31="","",Definitions!H31)</f>
        <v/>
      </c>
    </row>
    <row r="50" spans="1:2">
      <c r="A50" s="39" t="str">
        <f>IF(Definitions!H31="","",Definitions!H31)</f>
        <v/>
      </c>
    </row>
    <row r="51" spans="1:2">
      <c r="A51" s="39" t="str">
        <f>IF(Definitions!H31="","",Definitions!H31)</f>
        <v/>
      </c>
      <c r="B51" t="str">
        <f>IF(Definitions!E30="","",Definitions!E30)</f>
        <v xml:space="preserve"> </v>
      </c>
    </row>
    <row r="52" spans="1:2">
      <c r="A52" s="39" t="str">
        <f>IF(Definitions!H31="","",Definitions!H31)</f>
        <v/>
      </c>
      <c r="B52" t="str">
        <f>IF(Definitions!E31="","",Definitions!E31)</f>
        <v/>
      </c>
    </row>
    <row r="62" spans="1:2">
      <c r="A62" t="str">
        <f>IF(Definitions!E38="","",Definitions!E38&amp; " Share of Generation (GWh/Year)")</f>
        <v/>
      </c>
    </row>
    <row r="63" spans="1:2">
      <c r="A63" t="str">
        <f>IF(Definitions!E39="","",Definitions!E39&amp; " Share of Generation (GWh/Year)")</f>
        <v/>
      </c>
    </row>
    <row r="64" spans="1:2">
      <c r="A64" t="str">
        <f>IF(Definitions!E40="","",Definitions!E40&amp; " Share of Generation (GWh/Year)")</f>
        <v/>
      </c>
    </row>
  </sheetData>
  <autoFilter ref="A3:AW3" xr:uid="{00000000-0001-0000-0100-000000000000}"/>
  <phoneticPr fontId="5" type="noConversion"/>
  <pageMargins left="0.7" right="0.7" top="0.75" bottom="0.75" header="0.3" footer="0.3"/>
  <pageSetup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2B7D4-97C5-5A4F-9DEB-314495E9D353}">
  <dimension ref="A4:W16"/>
  <sheetViews>
    <sheetView workbookViewId="0">
      <selection activeCell="A8" sqref="A8:XFD16"/>
    </sheetView>
  </sheetViews>
  <sheetFormatPr baseColWidth="10" defaultRowHeight="15"/>
  <sheetData>
    <row r="4" spans="1:23">
      <c r="A4" s="67" t="s">
        <v>49</v>
      </c>
      <c r="B4" s="67"/>
      <c r="C4" s="67" t="s">
        <v>92</v>
      </c>
      <c r="D4" s="50"/>
      <c r="E4" s="50"/>
      <c r="F4" s="50"/>
      <c r="G4" s="50"/>
      <c r="H4" s="50"/>
      <c r="I4" s="50"/>
      <c r="J4" s="50"/>
      <c r="K4" s="50"/>
      <c r="L4" s="50"/>
      <c r="M4" s="50"/>
      <c r="N4" s="50"/>
      <c r="O4" s="50"/>
      <c r="P4" s="50"/>
      <c r="Q4" s="50"/>
      <c r="R4" s="50"/>
      <c r="S4" s="50"/>
      <c r="T4" s="50"/>
      <c r="U4" s="50"/>
      <c r="V4" s="50"/>
      <c r="W4" s="50"/>
    </row>
    <row r="5" spans="1:23">
      <c r="A5" s="67" t="s">
        <v>49</v>
      </c>
      <c r="B5" s="67"/>
      <c r="C5" s="67" t="s">
        <v>90</v>
      </c>
      <c r="D5" s="67" t="s">
        <v>93</v>
      </c>
    </row>
    <row r="6" spans="1:23">
      <c r="A6" s="67" t="s">
        <v>49</v>
      </c>
      <c r="B6" s="67"/>
      <c r="C6" s="67" t="s">
        <v>94</v>
      </c>
    </row>
    <row r="8" spans="1:23">
      <c r="A8" t="str">
        <f>IF(Definitions!E35="","",Definitions!E35&amp; " Tariff ($/KWh)")</f>
        <v>Residential Tariff ($/KWh)</v>
      </c>
    </row>
    <row r="9" spans="1:23">
      <c r="A9" t="str">
        <f>IF(Definitions!E36="","",Definitions!E36&amp; " Tariff ($/KWh)")</f>
        <v>Commercial Tariff ($/KWh)</v>
      </c>
    </row>
    <row r="10" spans="1:23">
      <c r="A10" t="str">
        <f>IF(Definitions!E37="","",Definitions!E37&amp; " Tariff ($/KWh)")</f>
        <v>Industrial Tariff ($/KWh)</v>
      </c>
    </row>
    <row r="11" spans="1:23">
      <c r="A11" t="str">
        <f>IF(Definitions!E38="","",Definitions!E38&amp; " Tariff ($/KWh)")</f>
        <v/>
      </c>
    </row>
    <row r="12" spans="1:23">
      <c r="A12" t="str">
        <f>IF(Definitions!E39="","",Definitions!E39&amp; " Tariff ($/KWh)")</f>
        <v/>
      </c>
    </row>
    <row r="13" spans="1:23">
      <c r="A13" t="str">
        <f>IF(Definitions!E40="","",Definitions!E40&amp; " Tariff ($/KWh)")</f>
        <v/>
      </c>
    </row>
    <row r="14" spans="1:23">
      <c r="A14" t="str">
        <f>IF(Definitions!E35="","",Definitions!E35&amp; " Share of Generation (GWh/Year)")</f>
        <v>Residential Share of Generation (GWh/Year)</v>
      </c>
      <c r="D14" s="54">
        <v>1</v>
      </c>
      <c r="E14" s="54">
        <v>1</v>
      </c>
      <c r="F14" s="54">
        <v>1</v>
      </c>
      <c r="G14" s="54">
        <v>1</v>
      </c>
      <c r="H14" s="54">
        <v>1</v>
      </c>
      <c r="I14" s="54">
        <v>1</v>
      </c>
      <c r="J14" s="54">
        <v>1</v>
      </c>
      <c r="K14" s="54">
        <v>1</v>
      </c>
      <c r="L14" s="54">
        <v>1</v>
      </c>
      <c r="M14" s="54">
        <v>1</v>
      </c>
      <c r="N14" s="54">
        <v>1</v>
      </c>
      <c r="O14" s="54">
        <v>1</v>
      </c>
      <c r="P14" s="54">
        <v>1</v>
      </c>
      <c r="Q14" s="54">
        <v>1</v>
      </c>
      <c r="R14" s="54">
        <v>1</v>
      </c>
      <c r="S14" s="54">
        <v>1</v>
      </c>
      <c r="T14" s="54">
        <v>1</v>
      </c>
      <c r="U14" s="54">
        <v>1</v>
      </c>
      <c r="V14" s="54">
        <v>1</v>
      </c>
      <c r="W14" s="54">
        <v>1</v>
      </c>
    </row>
    <row r="15" spans="1:23">
      <c r="A15" t="str">
        <f>IF(Definitions!E36="","",Definitions!E36&amp; " Share of Generation (GWh/Year)")</f>
        <v>Commercial Share of Generation (GWh/Year)</v>
      </c>
      <c r="D15" s="54"/>
      <c r="E15" s="54"/>
      <c r="F15" s="54"/>
      <c r="G15" s="54"/>
      <c r="H15" s="54"/>
      <c r="I15" s="54"/>
      <c r="J15" s="54"/>
      <c r="K15" s="54"/>
      <c r="L15" s="54"/>
      <c r="M15" s="54"/>
      <c r="N15" s="54"/>
      <c r="O15" s="54"/>
      <c r="P15" s="54"/>
      <c r="Q15" s="54"/>
      <c r="R15" s="54"/>
      <c r="S15" s="54"/>
      <c r="T15" s="54"/>
      <c r="U15" s="54"/>
      <c r="V15" s="54"/>
      <c r="W15" s="54"/>
    </row>
    <row r="16" spans="1:23">
      <c r="A16" t="str">
        <f>IF(Definitions!E37="","",Definitions!E37&amp; " Share of Generation (GWh/Year)")</f>
        <v>Industrial Share of Generation (GWh/Year)</v>
      </c>
      <c r="D16" s="54"/>
      <c r="E16" s="54"/>
      <c r="F16" s="54"/>
      <c r="G16" s="54"/>
      <c r="H16" s="54"/>
      <c r="I16" s="54"/>
      <c r="J16" s="54"/>
      <c r="K16" s="54"/>
      <c r="L16" s="54"/>
      <c r="M16" s="54"/>
      <c r="N16" s="54"/>
      <c r="O16" s="54"/>
      <c r="P16" s="54"/>
      <c r="Q16" s="54"/>
      <c r="R16" s="54"/>
      <c r="S16" s="54"/>
      <c r="T16" s="54"/>
      <c r="U16" s="54"/>
      <c r="V16" s="54"/>
      <c r="W16" s="54"/>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V52"/>
  <sheetViews>
    <sheetView showGridLines="0" topLeftCell="A29" zoomScale="125" zoomScaleNormal="100" workbookViewId="0">
      <selection activeCell="A51" sqref="A51:XFD52"/>
    </sheetView>
  </sheetViews>
  <sheetFormatPr baseColWidth="10" defaultColWidth="8.83203125" defaultRowHeight="15"/>
  <cols>
    <col min="15" max="15" width="18.5" customWidth="1"/>
  </cols>
  <sheetData>
    <row r="1" spans="1:48" ht="47">
      <c r="A1" s="41" t="s">
        <v>0</v>
      </c>
      <c r="B1" s="42"/>
      <c r="C1" s="42"/>
      <c r="D1" s="42"/>
      <c r="E1" s="42"/>
      <c r="F1" s="6"/>
      <c r="G1" s="6"/>
      <c r="H1" s="6"/>
      <c r="I1" s="6"/>
      <c r="J1" s="6"/>
      <c r="K1" s="6"/>
      <c r="L1" s="6"/>
      <c r="M1" s="6"/>
      <c r="N1" s="6"/>
      <c r="O1" s="6"/>
      <c r="P1" s="6"/>
      <c r="Q1" s="6"/>
      <c r="R1" s="6"/>
      <c r="S1" s="6"/>
      <c r="T1" s="6"/>
      <c r="U1" s="6"/>
      <c r="V1" s="6"/>
      <c r="W1" s="6"/>
      <c r="X1" s="6"/>
      <c r="Y1" s="6"/>
      <c r="Z1" s="6"/>
      <c r="AA1" s="6"/>
      <c r="AB1" s="6"/>
      <c r="AC1" s="6"/>
      <c r="AD1" s="6"/>
      <c r="AE1" s="6"/>
      <c r="AF1" s="6"/>
      <c r="AG1" s="6"/>
      <c r="AH1" s="6"/>
      <c r="AI1" s="6"/>
      <c r="AJ1" s="6"/>
      <c r="AK1" s="6"/>
      <c r="AL1" s="6"/>
      <c r="AM1" s="6"/>
      <c r="AN1" s="6"/>
      <c r="AO1" s="6"/>
      <c r="AP1" s="6"/>
      <c r="AQ1" s="6"/>
      <c r="AR1" s="6"/>
      <c r="AS1" s="6"/>
      <c r="AT1" s="6"/>
      <c r="AU1" s="6"/>
      <c r="AV1" s="6"/>
    </row>
    <row r="2" spans="1:48" ht="26">
      <c r="A2" s="43" t="s">
        <v>96</v>
      </c>
      <c r="B2" s="42"/>
      <c r="C2" s="42"/>
      <c r="D2" s="42"/>
      <c r="E2" s="42"/>
      <c r="F2" s="6"/>
      <c r="G2" s="6"/>
      <c r="H2" s="6"/>
      <c r="I2" s="6"/>
      <c r="J2" s="6"/>
      <c r="K2" s="6"/>
      <c r="L2" s="6"/>
      <c r="M2" s="6"/>
      <c r="N2" s="6"/>
      <c r="O2" s="6"/>
      <c r="P2" s="6"/>
      <c r="Q2" s="6"/>
      <c r="R2" s="6"/>
      <c r="S2" s="6"/>
      <c r="T2" s="6"/>
      <c r="U2" s="6"/>
      <c r="V2" s="6"/>
      <c r="W2" s="6"/>
      <c r="X2" s="6"/>
      <c r="Y2" s="6"/>
      <c r="Z2" s="6"/>
      <c r="AA2" s="6"/>
      <c r="AB2" s="6"/>
      <c r="AC2" s="6"/>
      <c r="AD2" s="6"/>
      <c r="AE2" s="6"/>
      <c r="AF2" s="6"/>
      <c r="AG2" s="6"/>
      <c r="AH2" s="6"/>
      <c r="AI2" s="6"/>
      <c r="AJ2" s="6"/>
      <c r="AK2" s="6"/>
      <c r="AL2" s="6"/>
      <c r="AM2" s="6"/>
      <c r="AN2" s="6"/>
      <c r="AO2" s="6"/>
      <c r="AP2" s="6"/>
      <c r="AQ2" s="6"/>
      <c r="AR2" s="6"/>
      <c r="AS2" s="6"/>
      <c r="AT2" s="6"/>
      <c r="AU2" s="6"/>
      <c r="AV2" s="6"/>
    </row>
    <row r="3" spans="1:48">
      <c r="A3" s="1"/>
      <c r="B3" s="1" t="s">
        <v>97</v>
      </c>
      <c r="C3" s="1" t="s">
        <v>98</v>
      </c>
      <c r="D3" s="1" t="s">
        <v>99</v>
      </c>
      <c r="E3" s="1" t="s">
        <v>100</v>
      </c>
      <c r="F3" s="1" t="s">
        <v>101</v>
      </c>
      <c r="G3" s="1" t="s">
        <v>102</v>
      </c>
      <c r="H3" s="1" t="s">
        <v>103</v>
      </c>
      <c r="I3" s="1" t="s">
        <v>104</v>
      </c>
      <c r="J3" s="1" t="s">
        <v>105</v>
      </c>
      <c r="K3" s="1" t="s">
        <v>106</v>
      </c>
      <c r="M3" s="1"/>
      <c r="N3" s="1" t="s">
        <v>107</v>
      </c>
    </row>
    <row r="4" spans="1:48">
      <c r="A4" s="105">
        <f>Definitions!I33</f>
        <v>45658</v>
      </c>
      <c r="B4" s="4">
        <v>2.6877489013077298</v>
      </c>
      <c r="C4" s="4">
        <v>2.1857193822568202</v>
      </c>
      <c r="D4" s="4">
        <v>1.79697117260492</v>
      </c>
      <c r="E4" s="4">
        <v>1.4117966138214899</v>
      </c>
      <c r="F4" s="4">
        <v>1.1143359861655999</v>
      </c>
      <c r="G4" s="4">
        <v>0.90690841437426495</v>
      </c>
      <c r="H4" s="4">
        <v>0.76110006509476602</v>
      </c>
      <c r="I4" s="4">
        <v>0.63570875453159803</v>
      </c>
      <c r="J4" s="4">
        <v>0.49254047633778802</v>
      </c>
      <c r="K4" s="4">
        <v>1.4147338994588E-3</v>
      </c>
      <c r="M4" s="1" t="s">
        <v>97</v>
      </c>
      <c r="N4" s="5">
        <v>0.02</v>
      </c>
    </row>
    <row r="5" spans="1:48">
      <c r="A5" s="105">
        <f>A4+365</f>
        <v>46023</v>
      </c>
      <c r="B5" s="4">
        <v>2.6877489013077298</v>
      </c>
      <c r="C5" s="4">
        <v>2.1857193822568202</v>
      </c>
      <c r="D5" s="4">
        <v>1.79697117260492</v>
      </c>
      <c r="E5" s="4">
        <v>1.4117966138214899</v>
      </c>
      <c r="F5" s="4">
        <v>1.1143359861655999</v>
      </c>
      <c r="G5" s="4">
        <v>0.90690841437426495</v>
      </c>
      <c r="H5" s="4">
        <v>0.76110006509476602</v>
      </c>
      <c r="I5" s="4">
        <v>0.63570875453159803</v>
      </c>
      <c r="J5" s="4">
        <v>0.49254047633778802</v>
      </c>
      <c r="K5" s="4">
        <v>1.4147338994588E-3</v>
      </c>
      <c r="M5" s="1" t="s">
        <v>98</v>
      </c>
      <c r="N5" s="5">
        <v>0.03</v>
      </c>
    </row>
    <row r="6" spans="1:48">
      <c r="A6" s="105">
        <f t="shared" ref="A6:A23" si="0">A5+365</f>
        <v>46388</v>
      </c>
      <c r="B6" s="4">
        <v>2.6877489013077298</v>
      </c>
      <c r="C6" s="4">
        <v>2.1857193822568202</v>
      </c>
      <c r="D6" s="4">
        <v>1.79697117260492</v>
      </c>
      <c r="E6" s="4">
        <v>1.4117966138214899</v>
      </c>
      <c r="F6" s="4">
        <v>1.1143359861655999</v>
      </c>
      <c r="G6" s="4">
        <v>0.90690841437426495</v>
      </c>
      <c r="H6" s="4">
        <v>0.76110006509476602</v>
      </c>
      <c r="I6" s="4">
        <v>0.63570875453159803</v>
      </c>
      <c r="J6" s="4">
        <v>0.49254047633778802</v>
      </c>
      <c r="K6" s="4">
        <v>1.4147338994588E-3</v>
      </c>
      <c r="M6" s="1" t="s">
        <v>99</v>
      </c>
      <c r="N6" s="5">
        <v>0.04</v>
      </c>
    </row>
    <row r="7" spans="1:48">
      <c r="A7" s="105">
        <f t="shared" si="0"/>
        <v>46753</v>
      </c>
      <c r="B7" s="4">
        <v>2.6877489013077298</v>
      </c>
      <c r="C7" s="4">
        <v>2.1857193822568202</v>
      </c>
      <c r="D7" s="4">
        <v>1.79697117260492</v>
      </c>
      <c r="E7" s="4">
        <v>1.4117966138214899</v>
      </c>
      <c r="F7" s="4">
        <v>1.1143359861655999</v>
      </c>
      <c r="G7" s="4">
        <v>0.90690841437426495</v>
      </c>
      <c r="H7" s="4">
        <v>0.76110006509476602</v>
      </c>
      <c r="I7" s="4">
        <v>0.63570875453159803</v>
      </c>
      <c r="J7" s="4">
        <v>0.49254047633778802</v>
      </c>
      <c r="K7" s="4">
        <v>1.4147338994588E-3</v>
      </c>
      <c r="M7" s="1" t="s">
        <v>100</v>
      </c>
      <c r="N7" s="5">
        <v>0.05</v>
      </c>
    </row>
    <row r="8" spans="1:48">
      <c r="A8" s="105">
        <f t="shared" si="0"/>
        <v>47118</v>
      </c>
      <c r="B8" s="4">
        <v>2.6877489013077298</v>
      </c>
      <c r="C8" s="4">
        <v>2.1857193822568202</v>
      </c>
      <c r="D8" s="4">
        <v>1.79697117260492</v>
      </c>
      <c r="E8" s="4">
        <v>1.4117966138214899</v>
      </c>
      <c r="F8" s="4">
        <v>1.1143359861655999</v>
      </c>
      <c r="G8" s="4">
        <v>0.90690841437426495</v>
      </c>
      <c r="H8" s="4">
        <v>0.76110006509476602</v>
      </c>
      <c r="I8" s="4">
        <v>0.63570875453159803</v>
      </c>
      <c r="J8" s="4">
        <v>0.49254047633778802</v>
      </c>
      <c r="K8" s="4">
        <v>1.4147338994588E-3</v>
      </c>
      <c r="M8" s="1" t="s">
        <v>101</v>
      </c>
      <c r="N8" s="5">
        <v>0.05</v>
      </c>
    </row>
    <row r="9" spans="1:48">
      <c r="A9" s="105">
        <f t="shared" si="0"/>
        <v>47483</v>
      </c>
      <c r="B9" s="4">
        <v>2.6877489013077298</v>
      </c>
      <c r="C9" s="4">
        <v>2.1857193822568202</v>
      </c>
      <c r="D9" s="4">
        <v>1.79697117260492</v>
      </c>
      <c r="E9" s="4">
        <v>1.4117966138214899</v>
      </c>
      <c r="F9" s="4">
        <v>1.1143359861655999</v>
      </c>
      <c r="G9" s="4">
        <v>0.90690841437426495</v>
      </c>
      <c r="H9" s="4">
        <v>0.76110006509476602</v>
      </c>
      <c r="I9" s="4">
        <v>0.63570875453159803</v>
      </c>
      <c r="J9" s="4">
        <v>0.49254047633778802</v>
      </c>
      <c r="K9" s="4">
        <v>1.4147338994588E-3</v>
      </c>
      <c r="M9" s="1" t="s">
        <v>102</v>
      </c>
      <c r="N9" s="5">
        <v>0.05</v>
      </c>
    </row>
    <row r="10" spans="1:48">
      <c r="A10" s="105">
        <f t="shared" si="0"/>
        <v>47848</v>
      </c>
      <c r="B10" s="4">
        <v>2.6877489013077298</v>
      </c>
      <c r="C10" s="4">
        <v>2.1857193822568202</v>
      </c>
      <c r="D10" s="4">
        <v>1.79697117260492</v>
      </c>
      <c r="E10" s="4">
        <v>1.4117966138214899</v>
      </c>
      <c r="F10" s="4">
        <v>1.1143359861655999</v>
      </c>
      <c r="G10" s="4">
        <v>0.90690841437426495</v>
      </c>
      <c r="H10" s="4">
        <v>0.76110006509476602</v>
      </c>
      <c r="I10" s="4">
        <v>0.63570875453159803</v>
      </c>
      <c r="J10" s="4">
        <v>0.49254047633778802</v>
      </c>
      <c r="K10" s="4">
        <v>1.4147338994588E-3</v>
      </c>
      <c r="M10" s="1" t="s">
        <v>103</v>
      </c>
      <c r="N10" s="5">
        <v>0.31</v>
      </c>
    </row>
    <row r="11" spans="1:48">
      <c r="A11" s="105">
        <f t="shared" si="0"/>
        <v>48213</v>
      </c>
      <c r="B11" s="4">
        <v>2.6877489013077298</v>
      </c>
      <c r="C11" s="4">
        <v>2.1857193822568202</v>
      </c>
      <c r="D11" s="4">
        <v>1.79697117260492</v>
      </c>
      <c r="E11" s="4">
        <v>1.4117966138214899</v>
      </c>
      <c r="F11" s="4">
        <v>1.1143359861655999</v>
      </c>
      <c r="G11" s="4">
        <v>0.90690841437426495</v>
      </c>
      <c r="H11" s="4">
        <v>0.76110006509476602</v>
      </c>
      <c r="I11" s="4">
        <v>0.63570875453159803</v>
      </c>
      <c r="J11" s="4">
        <v>0.49254047633778802</v>
      </c>
      <c r="K11" s="4">
        <v>1.4147338994588E-3</v>
      </c>
      <c r="M11" s="1" t="s">
        <v>104</v>
      </c>
      <c r="N11" s="5">
        <v>0.15</v>
      </c>
    </row>
    <row r="12" spans="1:48">
      <c r="A12" s="105">
        <f t="shared" si="0"/>
        <v>48578</v>
      </c>
      <c r="B12" s="4">
        <v>2.6877489013077298</v>
      </c>
      <c r="C12" s="4">
        <v>2.1857193822568202</v>
      </c>
      <c r="D12" s="4">
        <v>1.79697117260492</v>
      </c>
      <c r="E12" s="4">
        <v>1.4117966138214899</v>
      </c>
      <c r="F12" s="4">
        <v>1.1143359861655999</v>
      </c>
      <c r="G12" s="4">
        <v>0.90690841437426495</v>
      </c>
      <c r="H12" s="4">
        <v>0.76110006509476602</v>
      </c>
      <c r="I12" s="4">
        <v>0.63570875453159803</v>
      </c>
      <c r="J12" s="4">
        <v>0.49254047633778802</v>
      </c>
      <c r="K12" s="4">
        <v>1.4147338994588E-3</v>
      </c>
      <c r="M12" s="1" t="s">
        <v>105</v>
      </c>
      <c r="N12" s="5">
        <v>0.15</v>
      </c>
    </row>
    <row r="13" spans="1:48">
      <c r="A13" s="105">
        <f t="shared" si="0"/>
        <v>48943</v>
      </c>
      <c r="B13" s="4">
        <v>2.6877489013077298</v>
      </c>
      <c r="C13" s="4">
        <v>2.1857193822568202</v>
      </c>
      <c r="D13" s="4">
        <v>1.79697117260492</v>
      </c>
      <c r="E13" s="4">
        <v>1.4117966138214899</v>
      </c>
      <c r="F13" s="4">
        <v>1.1143359861655999</v>
      </c>
      <c r="G13" s="4">
        <v>0.90690841437426495</v>
      </c>
      <c r="H13" s="4">
        <v>0.76110006509476602</v>
      </c>
      <c r="I13" s="4">
        <v>0.63570875453159803</v>
      </c>
      <c r="J13" s="4">
        <v>0.49254047633778802</v>
      </c>
      <c r="K13" s="4">
        <v>1.4147338994588E-3</v>
      </c>
      <c r="M13" s="1" t="s">
        <v>106</v>
      </c>
      <c r="N13" s="5">
        <v>0.15</v>
      </c>
    </row>
    <row r="14" spans="1:48">
      <c r="A14" s="105">
        <f t="shared" si="0"/>
        <v>49308</v>
      </c>
      <c r="B14" s="4">
        <v>2.6877489013077298</v>
      </c>
      <c r="C14" s="4">
        <v>2.1857193822568202</v>
      </c>
      <c r="D14" s="4">
        <v>1.79697117260492</v>
      </c>
      <c r="E14" s="4">
        <v>1.4117966138214899</v>
      </c>
      <c r="F14" s="4">
        <v>1.1143359861655999</v>
      </c>
      <c r="G14" s="4">
        <v>0.90690841437426495</v>
      </c>
      <c r="H14" s="4">
        <v>0.76110006509476602</v>
      </c>
      <c r="I14" s="4">
        <v>0.63570875453159803</v>
      </c>
      <c r="J14" s="4">
        <v>0.49254047633778802</v>
      </c>
      <c r="K14" s="4">
        <v>1.4147338994588E-3</v>
      </c>
      <c r="M14" s="1"/>
      <c r="N14" s="2">
        <f>SUM(N4:N13)</f>
        <v>1</v>
      </c>
    </row>
    <row r="15" spans="1:48">
      <c r="A15" s="105">
        <f t="shared" si="0"/>
        <v>49673</v>
      </c>
      <c r="B15" s="4">
        <v>2.6877489013077298</v>
      </c>
      <c r="C15" s="4">
        <v>2.1857193822568202</v>
      </c>
      <c r="D15" s="4">
        <v>1.79697117260492</v>
      </c>
      <c r="E15" s="4">
        <v>1.4117966138214899</v>
      </c>
      <c r="F15" s="4">
        <v>1.1143359861655999</v>
      </c>
      <c r="G15" s="4">
        <v>0.90690841437426495</v>
      </c>
      <c r="H15" s="4">
        <v>0.76110006509476602</v>
      </c>
      <c r="I15" s="4">
        <v>0.63570875453159803</v>
      </c>
      <c r="J15" s="4">
        <v>0.49254047633778802</v>
      </c>
      <c r="K15" s="4">
        <v>1.4147338994588E-3</v>
      </c>
    </row>
    <row r="16" spans="1:48">
      <c r="A16" s="105">
        <f t="shared" si="0"/>
        <v>50038</v>
      </c>
      <c r="B16" s="4">
        <v>2.6877489013077298</v>
      </c>
      <c r="C16" s="4">
        <v>2.1857193822568202</v>
      </c>
      <c r="D16" s="4">
        <v>1.79697117260492</v>
      </c>
      <c r="E16" s="4">
        <v>1.4117966138214899</v>
      </c>
      <c r="F16" s="4">
        <v>1.1143359861655999</v>
      </c>
      <c r="G16" s="4">
        <v>0.90690841437426495</v>
      </c>
      <c r="H16" s="4">
        <v>0.76110006509476602</v>
      </c>
      <c r="I16" s="4">
        <v>0.63570875453159803</v>
      </c>
      <c r="J16" s="4">
        <v>0.49254047633778802</v>
      </c>
      <c r="K16" s="4">
        <v>1.4147338994588E-3</v>
      </c>
    </row>
    <row r="17" spans="1:11">
      <c r="A17" s="105">
        <f t="shared" si="0"/>
        <v>50403</v>
      </c>
      <c r="B17" s="4">
        <v>2.6877489013077298</v>
      </c>
      <c r="C17" s="4">
        <v>2.1857193822568202</v>
      </c>
      <c r="D17" s="4">
        <v>1.79697117260492</v>
      </c>
      <c r="E17" s="4">
        <v>1.4117966138214899</v>
      </c>
      <c r="F17" s="4">
        <v>1.1143359861655999</v>
      </c>
      <c r="G17" s="4">
        <v>0.90690841437426495</v>
      </c>
      <c r="H17" s="4">
        <v>0.76110006509476602</v>
      </c>
      <c r="I17" s="4">
        <v>0.63570875453159803</v>
      </c>
      <c r="J17" s="4">
        <v>0.49254047633778802</v>
      </c>
      <c r="K17" s="4">
        <v>1.4147338994588E-3</v>
      </c>
    </row>
    <row r="18" spans="1:11">
      <c r="A18" s="105">
        <f t="shared" si="0"/>
        <v>50768</v>
      </c>
      <c r="B18" s="4">
        <v>2.6877489013077298</v>
      </c>
      <c r="C18" s="4">
        <v>2.1857193822568202</v>
      </c>
      <c r="D18" s="4">
        <v>1.79697117260492</v>
      </c>
      <c r="E18" s="4">
        <v>1.4117966138214899</v>
      </c>
      <c r="F18" s="4">
        <v>1.1143359861655999</v>
      </c>
      <c r="G18" s="4">
        <v>0.90690841437426495</v>
      </c>
      <c r="H18" s="4">
        <v>0.76110006509476602</v>
      </c>
      <c r="I18" s="4">
        <v>0.63570875453159803</v>
      </c>
      <c r="J18" s="4">
        <v>0.49254047633778802</v>
      </c>
      <c r="K18" s="4">
        <v>1.4147338994588E-3</v>
      </c>
    </row>
    <row r="19" spans="1:11">
      <c r="A19" s="105">
        <f t="shared" si="0"/>
        <v>51133</v>
      </c>
      <c r="B19" s="4">
        <v>2.6877489013077298</v>
      </c>
      <c r="C19" s="4">
        <v>2.1857193822568202</v>
      </c>
      <c r="D19" s="4">
        <v>1.79697117260492</v>
      </c>
      <c r="E19" s="4">
        <v>1.4117966138214899</v>
      </c>
      <c r="F19" s="4">
        <v>1.1143359861655999</v>
      </c>
      <c r="G19" s="4">
        <v>0.90690841437426495</v>
      </c>
      <c r="H19" s="4">
        <v>0.76110006509476602</v>
      </c>
      <c r="I19" s="4">
        <v>0.63570875453159803</v>
      </c>
      <c r="J19" s="4">
        <v>0.49254047633778802</v>
      </c>
      <c r="K19" s="4">
        <v>1.4147338994588E-3</v>
      </c>
    </row>
    <row r="20" spans="1:11">
      <c r="A20" s="105">
        <f t="shared" si="0"/>
        <v>51498</v>
      </c>
      <c r="B20" s="4">
        <v>2.6877489013077298</v>
      </c>
      <c r="C20" s="4">
        <v>2.1857193822568202</v>
      </c>
      <c r="D20" s="4">
        <v>1.79697117260492</v>
      </c>
      <c r="E20" s="4">
        <v>1.4117966138214899</v>
      </c>
      <c r="F20" s="4">
        <v>1.1143359861655999</v>
      </c>
      <c r="G20" s="4">
        <v>0.90690841437426495</v>
      </c>
      <c r="H20" s="4">
        <v>0.76110006509476602</v>
      </c>
      <c r="I20" s="4">
        <v>0.63570875453159803</v>
      </c>
      <c r="J20" s="4">
        <v>0.49254047633778802</v>
      </c>
      <c r="K20" s="4">
        <v>1.4147338994588E-3</v>
      </c>
    </row>
    <row r="21" spans="1:11">
      <c r="A21" s="105">
        <f t="shared" si="0"/>
        <v>51863</v>
      </c>
      <c r="B21" s="4">
        <v>2.6877489013077298</v>
      </c>
      <c r="C21" s="4">
        <v>2.1857193822568202</v>
      </c>
      <c r="D21" s="4">
        <v>1.79697117260492</v>
      </c>
      <c r="E21" s="4">
        <v>1.4117966138214899</v>
      </c>
      <c r="F21" s="4">
        <v>1.1143359861655999</v>
      </c>
      <c r="G21" s="4">
        <v>0.90690841437426495</v>
      </c>
      <c r="H21" s="4">
        <v>0.76110006509476602</v>
      </c>
      <c r="I21" s="4">
        <v>0.63570875453159803</v>
      </c>
      <c r="J21" s="4">
        <v>0.49254047633778802</v>
      </c>
      <c r="K21" s="4">
        <v>1.4147338994588E-3</v>
      </c>
    </row>
    <row r="22" spans="1:11">
      <c r="A22" s="105">
        <f t="shared" si="0"/>
        <v>52228</v>
      </c>
      <c r="B22" s="4">
        <v>2.6877489013077298</v>
      </c>
      <c r="C22" s="4">
        <v>2.1857193822568202</v>
      </c>
      <c r="D22" s="4">
        <v>1.79697117260492</v>
      </c>
      <c r="E22" s="4">
        <v>1.4117966138214899</v>
      </c>
      <c r="F22" s="4">
        <v>1.1143359861655999</v>
      </c>
      <c r="G22" s="4">
        <v>0.90690841437426495</v>
      </c>
      <c r="H22" s="4">
        <v>0.76110006509476602</v>
      </c>
      <c r="I22" s="4">
        <v>0.63570875453159803</v>
      </c>
      <c r="J22" s="4">
        <v>0.49254047633778802</v>
      </c>
      <c r="K22" s="4">
        <v>1.4147338994588E-3</v>
      </c>
    </row>
    <row r="23" spans="1:11">
      <c r="A23" s="105">
        <f t="shared" si="0"/>
        <v>52593</v>
      </c>
      <c r="B23" s="4">
        <v>2.6877489013077298</v>
      </c>
      <c r="C23" s="4">
        <v>2.1857193822568202</v>
      </c>
      <c r="D23" s="4">
        <v>1.79697117260492</v>
      </c>
      <c r="E23" s="4">
        <v>1.4117966138214899</v>
      </c>
      <c r="F23" s="4">
        <v>1.1143359861655999</v>
      </c>
      <c r="G23" s="4">
        <v>0.90690841437426495</v>
      </c>
      <c r="H23" s="4">
        <v>0.76110006509476602</v>
      </c>
      <c r="I23" s="4">
        <v>0.63570875453159803</v>
      </c>
      <c r="J23" s="4">
        <v>0.49254047633778802</v>
      </c>
      <c r="K23" s="4">
        <v>1.4147338994588E-3</v>
      </c>
    </row>
    <row r="24" spans="1:11">
      <c r="A24" s="105">
        <f t="shared" ref="A24:A52" si="1">A23+365</f>
        <v>52958</v>
      </c>
      <c r="B24" s="4">
        <v>2.6877489013077298</v>
      </c>
      <c r="C24" s="4">
        <v>2.1857193822568202</v>
      </c>
      <c r="D24" s="4">
        <v>1.79697117260492</v>
      </c>
      <c r="E24" s="4">
        <v>1.4117966138214899</v>
      </c>
      <c r="F24" s="4">
        <v>1.1143359861655999</v>
      </c>
      <c r="G24" s="4">
        <v>0.90690841437426495</v>
      </c>
      <c r="H24" s="4">
        <v>0.76110006509476602</v>
      </c>
      <c r="I24" s="4">
        <v>0.63570875453159803</v>
      </c>
      <c r="J24" s="4">
        <v>0.49254047633778802</v>
      </c>
      <c r="K24" s="4">
        <v>1.4147338994588E-3</v>
      </c>
    </row>
    <row r="25" spans="1:11">
      <c r="A25" s="105">
        <f t="shared" si="1"/>
        <v>53323</v>
      </c>
      <c r="B25" s="4">
        <v>2.6877489013077298</v>
      </c>
      <c r="C25" s="4">
        <v>2.1857193822568202</v>
      </c>
      <c r="D25" s="4">
        <v>1.79697117260492</v>
      </c>
      <c r="E25" s="4">
        <v>1.4117966138214899</v>
      </c>
      <c r="F25" s="4">
        <v>1.1143359861655999</v>
      </c>
      <c r="G25" s="4">
        <v>0.90690841437426495</v>
      </c>
      <c r="H25" s="4">
        <v>0.76110006509476602</v>
      </c>
      <c r="I25" s="4">
        <v>0.63570875453159803</v>
      </c>
      <c r="J25" s="4">
        <v>0.49254047633778802</v>
      </c>
      <c r="K25" s="4">
        <v>1.4147338994588E-3</v>
      </c>
    </row>
    <row r="26" spans="1:11">
      <c r="A26" s="105">
        <f t="shared" si="1"/>
        <v>53688</v>
      </c>
      <c r="B26" s="4">
        <v>2.6877489013077298</v>
      </c>
      <c r="C26" s="4">
        <v>2.1857193822568202</v>
      </c>
      <c r="D26" s="4">
        <v>1.79697117260492</v>
      </c>
      <c r="E26" s="4">
        <v>1.4117966138214899</v>
      </c>
      <c r="F26" s="4">
        <v>1.1143359861655999</v>
      </c>
      <c r="G26" s="4">
        <v>0.90690841437426495</v>
      </c>
      <c r="H26" s="4">
        <v>0.76110006509476602</v>
      </c>
      <c r="I26" s="4">
        <v>0.63570875453159803</v>
      </c>
      <c r="J26" s="4">
        <v>0.49254047633778802</v>
      </c>
      <c r="K26" s="4">
        <v>1.4147338994588E-3</v>
      </c>
    </row>
    <row r="27" spans="1:11">
      <c r="A27" s="105">
        <f t="shared" si="1"/>
        <v>54053</v>
      </c>
      <c r="B27" s="4">
        <v>2.6877489013077298</v>
      </c>
      <c r="C27" s="4">
        <v>2.1857193822568202</v>
      </c>
      <c r="D27" s="4">
        <v>1.79697117260492</v>
      </c>
      <c r="E27" s="4">
        <v>1.4117966138214899</v>
      </c>
      <c r="F27" s="4">
        <v>1.1143359861655999</v>
      </c>
      <c r="G27" s="4">
        <v>0.90690841437426495</v>
      </c>
      <c r="H27" s="4">
        <v>0.76110006509476602</v>
      </c>
      <c r="I27" s="4">
        <v>0.63570875453159803</v>
      </c>
      <c r="J27" s="4">
        <v>0.49254047633778802</v>
      </c>
      <c r="K27" s="4">
        <v>1.4147338994588E-3</v>
      </c>
    </row>
    <row r="28" spans="1:11">
      <c r="A28" s="105">
        <f t="shared" si="1"/>
        <v>54418</v>
      </c>
      <c r="B28" s="4">
        <v>2.6877489013077298</v>
      </c>
      <c r="C28" s="4">
        <v>2.1857193822568202</v>
      </c>
      <c r="D28" s="4">
        <v>1.79697117260492</v>
      </c>
      <c r="E28" s="4">
        <v>1.4117966138214899</v>
      </c>
      <c r="F28" s="4">
        <v>1.1143359861655999</v>
      </c>
      <c r="G28" s="4">
        <v>0.90690841437426495</v>
      </c>
      <c r="H28" s="4">
        <v>0.76110006509476602</v>
      </c>
      <c r="I28" s="4">
        <v>0.63570875453159803</v>
      </c>
      <c r="J28" s="4">
        <v>0.49254047633778802</v>
      </c>
      <c r="K28" s="4">
        <v>1.4147338994588E-3</v>
      </c>
    </row>
    <row r="29" spans="1:11">
      <c r="A29" s="105">
        <f t="shared" si="1"/>
        <v>54783</v>
      </c>
      <c r="B29" s="4">
        <v>2.6877489013077298</v>
      </c>
      <c r="C29" s="4">
        <v>2.1857193822568202</v>
      </c>
      <c r="D29" s="4">
        <v>1.79697117260492</v>
      </c>
      <c r="E29" s="4">
        <v>1.4117966138214899</v>
      </c>
      <c r="F29" s="4">
        <v>1.1143359861655999</v>
      </c>
      <c r="G29" s="4">
        <v>0.90690841437426495</v>
      </c>
      <c r="H29" s="4">
        <v>0.76110006509476602</v>
      </c>
      <c r="I29" s="4">
        <v>0.63570875453159803</v>
      </c>
      <c r="J29" s="4">
        <v>0.49254047633778802</v>
      </c>
      <c r="K29" s="4">
        <v>1.4147338994588E-3</v>
      </c>
    </row>
    <row r="30" spans="1:11">
      <c r="A30" s="105">
        <f t="shared" si="1"/>
        <v>55148</v>
      </c>
      <c r="B30" s="4">
        <v>2.6877489013077298</v>
      </c>
      <c r="C30" s="4">
        <v>2.1857193822568202</v>
      </c>
      <c r="D30" s="4">
        <v>1.79697117260492</v>
      </c>
      <c r="E30" s="4">
        <v>1.4117966138214899</v>
      </c>
      <c r="F30" s="4">
        <v>1.1143359861655999</v>
      </c>
      <c r="G30" s="4">
        <v>0.90690841437426495</v>
      </c>
      <c r="H30" s="4">
        <v>0.76110006509476602</v>
      </c>
      <c r="I30" s="4">
        <v>0.63570875453159803</v>
      </c>
      <c r="J30" s="4">
        <v>0.49254047633778802</v>
      </c>
      <c r="K30" s="4">
        <v>1.4147338994588E-3</v>
      </c>
    </row>
    <row r="31" spans="1:11">
      <c r="A31" s="105">
        <f t="shared" si="1"/>
        <v>55513</v>
      </c>
      <c r="B31" s="4">
        <v>2.6877489013077298</v>
      </c>
      <c r="C31" s="4">
        <v>2.1857193822568202</v>
      </c>
      <c r="D31" s="4">
        <v>1.79697117260492</v>
      </c>
      <c r="E31" s="4">
        <v>1.4117966138214899</v>
      </c>
      <c r="F31" s="4">
        <v>1.1143359861655999</v>
      </c>
      <c r="G31" s="4">
        <v>0.90690841437426495</v>
      </c>
      <c r="H31" s="4">
        <v>0.76110006509476602</v>
      </c>
      <c r="I31" s="4">
        <v>0.63570875453159803</v>
      </c>
      <c r="J31" s="4">
        <v>0.49254047633778802</v>
      </c>
      <c r="K31" s="4">
        <v>1.4147338994588E-3</v>
      </c>
    </row>
    <row r="32" spans="1:11">
      <c r="A32" s="105">
        <f t="shared" si="1"/>
        <v>55878</v>
      </c>
      <c r="B32" s="4">
        <v>2.6877489013077298</v>
      </c>
      <c r="C32" s="4">
        <v>2.1857193822568202</v>
      </c>
      <c r="D32" s="4">
        <v>1.79697117260492</v>
      </c>
      <c r="E32" s="4">
        <v>1.4117966138214899</v>
      </c>
      <c r="F32" s="4">
        <v>1.1143359861655999</v>
      </c>
      <c r="G32" s="4">
        <v>0.90690841437426495</v>
      </c>
      <c r="H32" s="4">
        <v>0.76110006509476602</v>
      </c>
      <c r="I32" s="4">
        <v>0.63570875453159803</v>
      </c>
      <c r="J32" s="4">
        <v>0.49254047633778802</v>
      </c>
      <c r="K32" s="4">
        <v>1.4147338994588E-3</v>
      </c>
    </row>
    <row r="33" spans="1:11">
      <c r="A33" s="105">
        <f t="shared" si="1"/>
        <v>56243</v>
      </c>
      <c r="B33" s="4">
        <v>2.6877489013077298</v>
      </c>
      <c r="C33" s="4">
        <v>2.1857193822568202</v>
      </c>
      <c r="D33" s="4">
        <v>1.79697117260492</v>
      </c>
      <c r="E33" s="4">
        <v>1.4117966138214899</v>
      </c>
      <c r="F33" s="4">
        <v>1.1143359861655999</v>
      </c>
      <c r="G33" s="4">
        <v>0.90690841437426495</v>
      </c>
      <c r="H33" s="4">
        <v>0.76110006509476602</v>
      </c>
      <c r="I33" s="4">
        <v>0.63570875453159803</v>
      </c>
      <c r="J33" s="4">
        <v>0.49254047633778802</v>
      </c>
      <c r="K33" s="4">
        <v>1.4147338994588E-3</v>
      </c>
    </row>
    <row r="34" spans="1:11">
      <c r="A34" s="105">
        <f t="shared" si="1"/>
        <v>56608</v>
      </c>
      <c r="B34" s="4">
        <v>2.6877489013077298</v>
      </c>
      <c r="C34" s="4">
        <v>2.1857193822568202</v>
      </c>
      <c r="D34" s="4">
        <v>1.79697117260492</v>
      </c>
      <c r="E34" s="4">
        <v>1.4117966138214899</v>
      </c>
      <c r="F34" s="4">
        <v>1.1143359861655999</v>
      </c>
      <c r="G34" s="4">
        <v>0.90690841437426495</v>
      </c>
      <c r="H34" s="4">
        <v>0.76110006509476602</v>
      </c>
      <c r="I34" s="4">
        <v>0.63570875453159803</v>
      </c>
      <c r="J34" s="4">
        <v>0.49254047633778802</v>
      </c>
      <c r="K34" s="4">
        <v>1.4147338994588E-3</v>
      </c>
    </row>
    <row r="35" spans="1:11">
      <c r="A35" s="105">
        <f t="shared" si="1"/>
        <v>56973</v>
      </c>
      <c r="B35" s="4">
        <v>2.6877489013077298</v>
      </c>
      <c r="C35" s="4">
        <v>2.1857193822568202</v>
      </c>
      <c r="D35" s="4">
        <v>1.79697117260492</v>
      </c>
      <c r="E35" s="4">
        <v>1.4117966138214899</v>
      </c>
      <c r="F35" s="4">
        <v>1.1143359861655999</v>
      </c>
      <c r="G35" s="4">
        <v>0.90690841437426495</v>
      </c>
      <c r="H35" s="4">
        <v>0.76110006509476602</v>
      </c>
      <c r="I35" s="4">
        <v>0.63570875453159803</v>
      </c>
      <c r="J35" s="4">
        <v>0.49254047633778802</v>
      </c>
      <c r="K35" s="4">
        <v>1.4147338994588E-3</v>
      </c>
    </row>
    <row r="36" spans="1:11">
      <c r="A36" s="105">
        <f t="shared" si="1"/>
        <v>57338</v>
      </c>
      <c r="B36" s="4">
        <v>2.6877489013077298</v>
      </c>
      <c r="C36" s="4">
        <v>2.1857193822568202</v>
      </c>
      <c r="D36" s="4">
        <v>1.79697117260492</v>
      </c>
      <c r="E36" s="4">
        <v>1.4117966138214899</v>
      </c>
      <c r="F36" s="4">
        <v>1.1143359861655999</v>
      </c>
      <c r="G36" s="4">
        <v>0.90690841437426495</v>
      </c>
      <c r="H36" s="4">
        <v>0.76110006509476602</v>
      </c>
      <c r="I36" s="4">
        <v>0.63570875453159803</v>
      </c>
      <c r="J36" s="4">
        <v>0.49254047633778802</v>
      </c>
      <c r="K36" s="4">
        <v>1.4147338994588E-3</v>
      </c>
    </row>
    <row r="37" spans="1:11">
      <c r="A37" s="105">
        <f t="shared" si="1"/>
        <v>57703</v>
      </c>
      <c r="B37" s="4">
        <v>2.6877489013077298</v>
      </c>
      <c r="C37" s="4">
        <v>2.1857193822568202</v>
      </c>
      <c r="D37" s="4">
        <v>1.79697117260492</v>
      </c>
      <c r="E37" s="4">
        <v>1.4117966138214899</v>
      </c>
      <c r="F37" s="4">
        <v>1.1143359861655999</v>
      </c>
      <c r="G37" s="4">
        <v>0.90690841437426495</v>
      </c>
      <c r="H37" s="4">
        <v>0.76110006509476602</v>
      </c>
      <c r="I37" s="4">
        <v>0.63570875453159803</v>
      </c>
      <c r="J37" s="4">
        <v>0.49254047633778802</v>
      </c>
      <c r="K37" s="4">
        <v>1.4147338994588E-3</v>
      </c>
    </row>
    <row r="38" spans="1:11">
      <c r="A38" s="105">
        <f t="shared" si="1"/>
        <v>58068</v>
      </c>
      <c r="B38" s="4">
        <v>2.6877489013077298</v>
      </c>
      <c r="C38" s="4">
        <v>2.1857193822568202</v>
      </c>
      <c r="D38" s="4">
        <v>1.79697117260492</v>
      </c>
      <c r="E38" s="4">
        <v>1.4117966138214899</v>
      </c>
      <c r="F38" s="4">
        <v>1.1143359861655999</v>
      </c>
      <c r="G38" s="4">
        <v>0.90690841437426495</v>
      </c>
      <c r="H38" s="4">
        <v>0.76110006509476602</v>
      </c>
      <c r="I38" s="4">
        <v>0.63570875453159803</v>
      </c>
      <c r="J38" s="4">
        <v>0.49254047633778802</v>
      </c>
      <c r="K38" s="4">
        <v>1.4147338994588E-3</v>
      </c>
    </row>
    <row r="39" spans="1:11">
      <c r="A39" s="105">
        <f t="shared" si="1"/>
        <v>58433</v>
      </c>
      <c r="B39" s="4">
        <v>2.6877489013077298</v>
      </c>
      <c r="C39" s="4">
        <v>2.1857193822568202</v>
      </c>
      <c r="D39" s="4">
        <v>1.79697117260492</v>
      </c>
      <c r="E39" s="4">
        <v>1.4117966138214899</v>
      </c>
      <c r="F39" s="4">
        <v>1.1143359861655999</v>
      </c>
      <c r="G39" s="4">
        <v>0.90690841437426495</v>
      </c>
      <c r="H39" s="4">
        <v>0.76110006509476602</v>
      </c>
      <c r="I39" s="4">
        <v>0.63570875453159803</v>
      </c>
      <c r="J39" s="4">
        <v>0.49254047633778802</v>
      </c>
      <c r="K39" s="4">
        <v>1.4147338994588E-3</v>
      </c>
    </row>
    <row r="40" spans="1:11">
      <c r="A40" s="105">
        <f t="shared" si="1"/>
        <v>58798</v>
      </c>
      <c r="B40" s="4">
        <v>2.6877489013077298</v>
      </c>
      <c r="C40" s="4">
        <v>2.1857193822568202</v>
      </c>
      <c r="D40" s="4">
        <v>1.79697117260492</v>
      </c>
      <c r="E40" s="4">
        <v>1.4117966138214899</v>
      </c>
      <c r="F40" s="4">
        <v>1.1143359861655999</v>
      </c>
      <c r="G40" s="4">
        <v>0.90690841437426495</v>
      </c>
      <c r="H40" s="4">
        <v>0.76110006509476602</v>
      </c>
      <c r="I40" s="4">
        <v>0.63570875453159803</v>
      </c>
      <c r="J40" s="4">
        <v>0.49254047633778802</v>
      </c>
      <c r="K40" s="4">
        <v>1.4147338994588E-3</v>
      </c>
    </row>
    <row r="41" spans="1:11">
      <c r="A41" s="105">
        <f t="shared" si="1"/>
        <v>59163</v>
      </c>
      <c r="B41" s="4">
        <v>2.6877489013077298</v>
      </c>
      <c r="C41" s="4">
        <v>2.1857193822568202</v>
      </c>
      <c r="D41" s="4">
        <v>1.79697117260492</v>
      </c>
      <c r="E41" s="4">
        <v>1.4117966138214899</v>
      </c>
      <c r="F41" s="4">
        <v>1.1143359861655999</v>
      </c>
      <c r="G41" s="4">
        <v>0.90690841437426495</v>
      </c>
      <c r="H41" s="4">
        <v>0.76110006509476602</v>
      </c>
      <c r="I41" s="4">
        <v>0.63570875453159803</v>
      </c>
      <c r="J41" s="4">
        <v>0.49254047633778802</v>
      </c>
      <c r="K41" s="4">
        <v>1.4147338994588E-3</v>
      </c>
    </row>
    <row r="42" spans="1:11">
      <c r="A42" s="105">
        <f t="shared" si="1"/>
        <v>59528</v>
      </c>
      <c r="B42" s="4">
        <v>2.6877489013077298</v>
      </c>
      <c r="C42" s="4">
        <v>2.1857193822568202</v>
      </c>
      <c r="D42" s="4">
        <v>1.79697117260492</v>
      </c>
      <c r="E42" s="4">
        <v>1.4117966138214899</v>
      </c>
      <c r="F42" s="4">
        <v>1.1143359861655999</v>
      </c>
      <c r="G42" s="4">
        <v>0.90690841437426495</v>
      </c>
      <c r="H42" s="4">
        <v>0.76110006509476602</v>
      </c>
      <c r="I42" s="4">
        <v>0.63570875453159803</v>
      </c>
      <c r="J42" s="4">
        <v>0.49254047633778802</v>
      </c>
      <c r="K42" s="4">
        <v>1.4147338994588E-3</v>
      </c>
    </row>
    <row r="43" spans="1:11">
      <c r="A43" s="105">
        <f t="shared" si="1"/>
        <v>59893</v>
      </c>
      <c r="B43" s="4">
        <v>2.6877489013077298</v>
      </c>
      <c r="C43" s="4">
        <v>2.1857193822568202</v>
      </c>
      <c r="D43" s="4">
        <v>1.79697117260492</v>
      </c>
      <c r="E43" s="4">
        <v>1.4117966138214899</v>
      </c>
      <c r="F43" s="4">
        <v>1.1143359861655999</v>
      </c>
      <c r="G43" s="4">
        <v>0.90690841437426495</v>
      </c>
      <c r="H43" s="4">
        <v>0.76110006509476602</v>
      </c>
      <c r="I43" s="4">
        <v>0.63570875453159803</v>
      </c>
      <c r="J43" s="4">
        <v>0.49254047633778802</v>
      </c>
      <c r="K43" s="4">
        <v>1.4147338994588E-3</v>
      </c>
    </row>
    <row r="44" spans="1:11">
      <c r="A44" s="105">
        <f t="shared" si="1"/>
        <v>60258</v>
      </c>
      <c r="B44" s="4">
        <v>2.6877489013077298</v>
      </c>
      <c r="C44" s="4">
        <v>2.1857193822568202</v>
      </c>
      <c r="D44" s="4">
        <v>1.79697117260492</v>
      </c>
      <c r="E44" s="4">
        <v>1.4117966138214899</v>
      </c>
      <c r="F44" s="4">
        <v>1.1143359861655999</v>
      </c>
      <c r="G44" s="4">
        <v>0.90690841437426495</v>
      </c>
      <c r="H44" s="4">
        <v>0.76110006509476602</v>
      </c>
      <c r="I44" s="4">
        <v>0.63570875453159803</v>
      </c>
      <c r="J44" s="4">
        <v>0.49254047633778802</v>
      </c>
      <c r="K44" s="4">
        <v>1.4147338994588E-3</v>
      </c>
    </row>
    <row r="45" spans="1:11">
      <c r="A45" s="105">
        <f t="shared" si="1"/>
        <v>60623</v>
      </c>
      <c r="B45" s="4">
        <v>2.6877489013077298</v>
      </c>
      <c r="C45" s="4">
        <v>2.1857193822568202</v>
      </c>
      <c r="D45" s="4">
        <v>1.79697117260492</v>
      </c>
      <c r="E45" s="4">
        <v>1.4117966138214899</v>
      </c>
      <c r="F45" s="4">
        <v>1.1143359861655999</v>
      </c>
      <c r="G45" s="4">
        <v>0.90690841437426495</v>
      </c>
      <c r="H45" s="4">
        <v>0.76110006509476602</v>
      </c>
      <c r="I45" s="4">
        <v>0.63570875453159803</v>
      </c>
      <c r="J45" s="4">
        <v>0.49254047633778802</v>
      </c>
      <c r="K45" s="4">
        <v>1.4147338994588E-3</v>
      </c>
    </row>
    <row r="46" spans="1:11">
      <c r="A46" s="105">
        <f t="shared" si="1"/>
        <v>60988</v>
      </c>
      <c r="B46" s="4">
        <v>2.6877489013077298</v>
      </c>
      <c r="C46" s="4">
        <v>2.1857193822568202</v>
      </c>
      <c r="D46" s="4">
        <v>1.79697117260492</v>
      </c>
      <c r="E46" s="4">
        <v>1.4117966138214899</v>
      </c>
      <c r="F46" s="4">
        <v>1.1143359861655999</v>
      </c>
      <c r="G46" s="4">
        <v>0.90690841437426495</v>
      </c>
      <c r="H46" s="4">
        <v>0.76110006509476602</v>
      </c>
      <c r="I46" s="4">
        <v>0.63570875453159803</v>
      </c>
      <c r="J46" s="4">
        <v>0.49254047633778802</v>
      </c>
      <c r="K46" s="4">
        <v>1.4147338994588E-3</v>
      </c>
    </row>
    <row r="47" spans="1:11">
      <c r="A47" s="105">
        <f t="shared" si="1"/>
        <v>61353</v>
      </c>
      <c r="B47" s="4">
        <v>2.6877489013077298</v>
      </c>
      <c r="C47" s="4">
        <v>2.1857193822568202</v>
      </c>
      <c r="D47" s="4">
        <v>1.79697117260492</v>
      </c>
      <c r="E47" s="4">
        <v>1.4117966138214899</v>
      </c>
      <c r="F47" s="4">
        <v>1.1143359861655999</v>
      </c>
      <c r="G47" s="4">
        <v>0.90690841437426495</v>
      </c>
      <c r="H47" s="4">
        <v>0.76110006509476602</v>
      </c>
      <c r="I47" s="4">
        <v>0.63570875453159803</v>
      </c>
      <c r="J47" s="4">
        <v>0.49254047633778802</v>
      </c>
      <c r="K47" s="4">
        <v>1.4147338994588E-3</v>
      </c>
    </row>
    <row r="48" spans="1:11">
      <c r="A48" s="105">
        <f t="shared" si="1"/>
        <v>61718</v>
      </c>
      <c r="B48" s="4">
        <v>2.6877489013077298</v>
      </c>
      <c r="C48" s="4">
        <v>2.1857193822568202</v>
      </c>
      <c r="D48" s="4">
        <v>1.79697117260492</v>
      </c>
      <c r="E48" s="4">
        <v>1.4117966138214899</v>
      </c>
      <c r="F48" s="4">
        <v>1.1143359861655999</v>
      </c>
      <c r="G48" s="4">
        <v>0.90690841437426495</v>
      </c>
      <c r="H48" s="4">
        <v>0.76110006509476602</v>
      </c>
      <c r="I48" s="4">
        <v>0.63570875453159803</v>
      </c>
      <c r="J48" s="4">
        <v>0.49254047633778802</v>
      </c>
      <c r="K48" s="4">
        <v>1.4147338994588E-3</v>
      </c>
    </row>
    <row r="49" spans="1:11">
      <c r="A49" s="105">
        <f t="shared" si="1"/>
        <v>62083</v>
      </c>
      <c r="B49" s="4">
        <v>2.6877489013077298</v>
      </c>
      <c r="C49" s="4">
        <v>2.1857193822568202</v>
      </c>
      <c r="D49" s="4">
        <v>1.79697117260492</v>
      </c>
      <c r="E49" s="4">
        <v>1.4117966138214899</v>
      </c>
      <c r="F49" s="4">
        <v>1.1143359861655999</v>
      </c>
      <c r="G49" s="4">
        <v>0.90690841437426495</v>
      </c>
      <c r="H49" s="4">
        <v>0.76110006509476602</v>
      </c>
      <c r="I49" s="4">
        <v>0.63570875453159803</v>
      </c>
      <c r="J49" s="4">
        <v>0.49254047633778802</v>
      </c>
      <c r="K49" s="4">
        <v>1.4147338994588E-3</v>
      </c>
    </row>
    <row r="50" spans="1:11">
      <c r="A50" s="105">
        <f t="shared" si="1"/>
        <v>62448</v>
      </c>
      <c r="B50" s="4">
        <v>2.6877489013077298</v>
      </c>
      <c r="C50" s="4">
        <v>2.1857193822568202</v>
      </c>
      <c r="D50" s="4">
        <v>1.79697117260492</v>
      </c>
      <c r="E50" s="4">
        <v>1.4117966138214899</v>
      </c>
      <c r="F50" s="4">
        <v>1.1143359861655999</v>
      </c>
      <c r="G50" s="4">
        <v>0.90690841437426495</v>
      </c>
      <c r="H50" s="4">
        <v>0.76110006509476602</v>
      </c>
      <c r="I50" s="4">
        <v>0.63570875453159803</v>
      </c>
      <c r="J50" s="4">
        <v>0.49254047633778802</v>
      </c>
      <c r="K50" s="4">
        <v>1.4147338994588E-3</v>
      </c>
    </row>
    <row r="51" spans="1:11">
      <c r="A51" s="105"/>
      <c r="B51" s="4"/>
      <c r="C51" s="4"/>
      <c r="D51" s="4"/>
      <c r="E51" s="4"/>
      <c r="F51" s="4"/>
      <c r="G51" s="4"/>
      <c r="H51" s="4"/>
      <c r="I51" s="4"/>
      <c r="J51" s="4"/>
      <c r="K51" s="4"/>
    </row>
    <row r="52" spans="1:11">
      <c r="A52" s="105"/>
      <c r="B52" s="4"/>
      <c r="C52" s="4"/>
      <c r="D52" s="4"/>
      <c r="E52" s="4"/>
      <c r="F52" s="4"/>
      <c r="G52" s="4"/>
      <c r="H52" s="4"/>
      <c r="I52" s="4"/>
      <c r="J52" s="4"/>
      <c r="K52" s="4"/>
    </row>
  </sheetData>
  <phoneticPr fontId="5" type="noConversion"/>
  <pageMargins left="0.7" right="0.7" top="0.75" bottom="0.75" header="0.3" footer="0.3"/>
  <pageSetup orientation="portrait"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7</vt:i4>
      </vt:variant>
    </vt:vector>
  </HeadingPairs>
  <TitlesOfParts>
    <vt:vector size="7" baseType="lpstr">
      <vt:lpstr>Definitions</vt:lpstr>
      <vt:lpstr>Other</vt:lpstr>
      <vt:lpstr>Plant Data</vt:lpstr>
      <vt:lpstr>FC_PPA</vt:lpstr>
      <vt:lpstr>Price_Gen</vt:lpstr>
      <vt:lpstr>Sheet1</vt:lpstr>
      <vt:lpstr>Price_Distribution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Debabrata Chattopadhyay</dc:creator>
  <cp:keywords/>
  <dc:description/>
  <cp:lastModifiedBy>Zixuan Liu</cp:lastModifiedBy>
  <cp:revision/>
  <dcterms:created xsi:type="dcterms:W3CDTF">2021-06-05T11:37:27Z</dcterms:created>
  <dcterms:modified xsi:type="dcterms:W3CDTF">2025-08-10T18:12:03Z</dcterms:modified>
  <cp:category/>
  <cp:contentStatus/>
</cp:coreProperties>
</file>