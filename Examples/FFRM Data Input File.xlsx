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simoneosei/Documents/GitHub/ffrm_python/Examples/"/>
    </mc:Choice>
  </mc:AlternateContent>
  <xr:revisionPtr revIDLastSave="0" documentId="13_ncr:1_{BBDCC97F-9245-CE4A-BC31-7CDE64049A5F}" xr6:coauthVersionLast="47" xr6:coauthVersionMax="47" xr10:uidLastSave="{00000000-0000-0000-0000-000000000000}"/>
  <bookViews>
    <workbookView xWindow="0" yWindow="500" windowWidth="28800" windowHeight="17500" activeTab="2" xr2:uid="{00000000-000D-0000-FFFF-FFFF00000000}"/>
  </bookViews>
  <sheets>
    <sheet name="Definitions" sheetId="7" r:id="rId1"/>
    <sheet name="Other" sheetId="3" r:id="rId2"/>
    <sheet name="Plant Data" sheetId="1" r:id="rId3"/>
    <sheet name="FC_PPA" sheetId="6" r:id="rId4"/>
    <sheet name="Price_Gen" sheetId="2" r:id="rId5"/>
    <sheet name="Price_Distribution" sheetId="4" r:id="rId6"/>
  </sheets>
  <definedNames>
    <definedName name="_xlnm._FilterDatabase" localSheetId="3" hidden="1">FC_PPA!$A$3:$AU$3</definedName>
    <definedName name="_xlnm._FilterDatabase" localSheetId="1" hidden="1">Other!$A$3:$C$86</definedName>
    <definedName name="_xlnm._FilterDatabase" localSheetId="2" hidden="1">'Plant Data'!$A$3:$I$3</definedName>
    <definedName name="_xlnm._FilterDatabase" localSheetId="4" hidden="1">Price_Gen!$A$3:$AW$3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3" i="6" l="1"/>
  <c r="AW3" i="6" s="1"/>
  <c r="AX3" i="6" s="1"/>
  <c r="AY3" i="6" s="1"/>
  <c r="AV8" i="6"/>
  <c r="AW8" i="6"/>
  <c r="AX8" i="6"/>
  <c r="AY8" i="6"/>
  <c r="AV9" i="6"/>
  <c r="AW9" i="6"/>
  <c r="AX9" i="6"/>
  <c r="AY9" i="6"/>
  <c r="AV10" i="6"/>
  <c r="AW10" i="6"/>
  <c r="AX10" i="6"/>
  <c r="AY10" i="6"/>
  <c r="AV11" i="6"/>
  <c r="AW11" i="6"/>
  <c r="AX11" i="6"/>
  <c r="AY11" i="6"/>
  <c r="AX3" i="2"/>
  <c r="AY3" i="2" s="1"/>
  <c r="AZ3" i="2" s="1"/>
  <c r="BA3" i="2" s="1"/>
  <c r="A24" i="4"/>
  <c r="A25" i="4"/>
  <c r="A26" i="4"/>
  <c r="A27" i="4"/>
  <c r="A28" i="4"/>
  <c r="A29" i="4"/>
  <c r="A30" i="4"/>
  <c r="A31" i="4"/>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B8" i="6"/>
  <c r="AC8" i="6"/>
  <c r="AD8" i="6"/>
  <c r="AE8" i="6"/>
  <c r="AB9" i="6"/>
  <c r="AC9" i="6"/>
  <c r="AD9" i="6"/>
  <c r="AE9" i="6"/>
  <c r="AB10" i="6"/>
  <c r="AC10" i="6"/>
  <c r="AD10" i="6"/>
  <c r="AE10" i="6"/>
  <c r="AB11" i="6"/>
  <c r="AC11" i="6"/>
  <c r="AD11" i="6"/>
  <c r="AE11" i="6"/>
  <c r="AU11" i="6"/>
  <c r="AT11" i="6"/>
  <c r="AS11" i="6"/>
  <c r="AR11" i="6"/>
  <c r="AQ11" i="6"/>
  <c r="AP11" i="6"/>
  <c r="AO11" i="6"/>
  <c r="AN11" i="6"/>
  <c r="AM11" i="6"/>
  <c r="AL11" i="6"/>
  <c r="AK11" i="6"/>
  <c r="AJ11" i="6"/>
  <c r="AI11" i="6"/>
  <c r="AH11" i="6"/>
  <c r="AG11" i="6"/>
  <c r="AF11" i="6"/>
  <c r="AU10" i="6"/>
  <c r="AT10" i="6"/>
  <c r="AS10" i="6"/>
  <c r="AR10" i="6"/>
  <c r="AQ10" i="6"/>
  <c r="AP10" i="6"/>
  <c r="AO10" i="6"/>
  <c r="AN10" i="6"/>
  <c r="AM10" i="6"/>
  <c r="AL10" i="6"/>
  <c r="AK10" i="6"/>
  <c r="AJ10" i="6"/>
  <c r="AI10" i="6"/>
  <c r="AH10" i="6"/>
  <c r="AG10" i="6"/>
  <c r="AF10" i="6"/>
  <c r="AU9" i="6"/>
  <c r="AT9" i="6"/>
  <c r="AS9" i="6"/>
  <c r="AR9" i="6"/>
  <c r="AQ9" i="6"/>
  <c r="AP9" i="6"/>
  <c r="AO9" i="6"/>
  <c r="AN9" i="6"/>
  <c r="AM9" i="6"/>
  <c r="AL9" i="6"/>
  <c r="AK9" i="6"/>
  <c r="AJ9" i="6"/>
  <c r="AI9" i="6"/>
  <c r="AH9" i="6"/>
  <c r="AG9" i="6"/>
  <c r="AF9" i="6"/>
  <c r="AU8" i="6"/>
  <c r="AT8" i="6"/>
  <c r="AS8" i="6"/>
  <c r="AR8" i="6"/>
  <c r="AQ8" i="6"/>
  <c r="AP8" i="6"/>
  <c r="AO8" i="6"/>
  <c r="AN8" i="6"/>
  <c r="AM8" i="6"/>
  <c r="AL8" i="6"/>
  <c r="AK8" i="6"/>
  <c r="AJ8" i="6"/>
  <c r="AI8" i="6"/>
  <c r="AH8" i="6"/>
  <c r="AG8" i="6"/>
  <c r="AF8" i="6"/>
  <c r="AA11" i="6"/>
  <c r="Z11" i="6"/>
  <c r="Y11" i="6"/>
  <c r="X11" i="6"/>
  <c r="W11" i="6"/>
  <c r="V11" i="6"/>
  <c r="U11" i="6"/>
  <c r="T11" i="6"/>
  <c r="S11" i="6"/>
  <c r="R11" i="6"/>
  <c r="Q11" i="6"/>
  <c r="AA10" i="6"/>
  <c r="Z10" i="6"/>
  <c r="Y10" i="6"/>
  <c r="X10" i="6"/>
  <c r="W10" i="6"/>
  <c r="V10" i="6"/>
  <c r="U10" i="6"/>
  <c r="T10" i="6"/>
  <c r="S10" i="6"/>
  <c r="R10" i="6"/>
  <c r="Q10" i="6"/>
  <c r="AA9" i="6"/>
  <c r="Z9" i="6"/>
  <c r="Y9" i="6"/>
  <c r="X9" i="6"/>
  <c r="W9" i="6"/>
  <c r="V9" i="6"/>
  <c r="U9" i="6"/>
  <c r="T9" i="6"/>
  <c r="S9" i="6"/>
  <c r="R9" i="6"/>
  <c r="Q9" i="6"/>
  <c r="AA8" i="6"/>
  <c r="Z8" i="6"/>
  <c r="Y8" i="6"/>
  <c r="X8" i="6"/>
  <c r="W8" i="6"/>
  <c r="V8" i="6"/>
  <c r="U8" i="6"/>
  <c r="T8" i="6"/>
  <c r="S8" i="6"/>
  <c r="R8" i="6"/>
  <c r="Q8" i="6"/>
  <c r="P11" i="6"/>
  <c r="O11" i="6"/>
  <c r="N11" i="6"/>
  <c r="M11" i="6"/>
  <c r="L11" i="6"/>
  <c r="K11" i="6"/>
  <c r="J11" i="6"/>
  <c r="I11" i="6"/>
  <c r="H11" i="6"/>
  <c r="G11" i="6"/>
  <c r="F11" i="6"/>
  <c r="E11" i="6"/>
  <c r="D11" i="6"/>
  <c r="C11" i="6"/>
  <c r="P10" i="6"/>
  <c r="O10" i="6"/>
  <c r="N10" i="6"/>
  <c r="M10" i="6"/>
  <c r="L10" i="6"/>
  <c r="K10" i="6"/>
  <c r="J10" i="6"/>
  <c r="I10" i="6"/>
  <c r="H10" i="6"/>
  <c r="G10" i="6"/>
  <c r="F10" i="6"/>
  <c r="E10" i="6"/>
  <c r="D10" i="6"/>
  <c r="C10" i="6"/>
  <c r="P9" i="6"/>
  <c r="O9" i="6"/>
  <c r="N9" i="6"/>
  <c r="M9" i="6"/>
  <c r="L9" i="6"/>
  <c r="K9" i="6"/>
  <c r="J9" i="6"/>
  <c r="I9" i="6"/>
  <c r="H9" i="6"/>
  <c r="G9" i="6"/>
  <c r="F9" i="6"/>
  <c r="E9" i="6"/>
  <c r="D9" i="6"/>
  <c r="C9" i="6"/>
  <c r="P8" i="6"/>
  <c r="O8" i="6"/>
  <c r="N8" i="6"/>
  <c r="M8" i="6"/>
  <c r="L8" i="6"/>
  <c r="K8" i="6"/>
  <c r="J8" i="6"/>
  <c r="I8" i="6"/>
  <c r="H8" i="6"/>
  <c r="G8" i="6"/>
  <c r="F8" i="6"/>
  <c r="E8" i="6"/>
  <c r="D8" i="6"/>
  <c r="C8" i="6"/>
  <c r="H7" i="6"/>
  <c r="G7" i="6"/>
  <c r="F7" i="6"/>
  <c r="E7" i="6"/>
  <c r="D7" i="6"/>
  <c r="C7" i="6"/>
  <c r="H6" i="6"/>
  <c r="G6" i="6"/>
  <c r="F6" i="6"/>
  <c r="E6" i="6"/>
  <c r="D6" i="6"/>
  <c r="C6" i="6"/>
  <c r="H5" i="6"/>
  <c r="G5" i="6"/>
  <c r="F5" i="6"/>
  <c r="E5" i="6"/>
  <c r="D5" i="6"/>
  <c r="C5" i="6"/>
  <c r="H4" i="6"/>
  <c r="G4" i="6"/>
  <c r="F4" i="6"/>
  <c r="E4" i="6"/>
  <c r="D4" i="6"/>
  <c r="C4" i="6"/>
  <c r="B4" i="6"/>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8" i="2"/>
  <c r="B7" i="2"/>
  <c r="C13" i="2"/>
  <c r="C12" i="2"/>
  <c r="C8" i="2"/>
  <c r="C7" i="2"/>
  <c r="D3" i="2" l="1"/>
  <c r="B3" i="6"/>
  <c r="C3" i="6" s="1"/>
  <c r="D3" i="6" s="1"/>
  <c r="E3" i="6" s="1"/>
  <c r="F3" i="6" s="1"/>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AG3" i="6" s="1"/>
  <c r="AH3" i="6" s="1"/>
  <c r="AI3" i="6" s="1"/>
  <c r="AJ3" i="6" s="1"/>
  <c r="AK3" i="6" s="1"/>
  <c r="AL3" i="6" s="1"/>
  <c r="AM3" i="6" s="1"/>
  <c r="AN3" i="6" s="1"/>
  <c r="AO3" i="6" s="1"/>
  <c r="AP3" i="6" s="1"/>
  <c r="AQ3" i="6" s="1"/>
  <c r="AR3" i="6" s="1"/>
  <c r="AS3" i="6" s="1"/>
  <c r="AT3" i="6" s="1"/>
  <c r="AU3" i="6" s="1"/>
  <c r="B12" i="3"/>
  <c r="B13" i="3"/>
  <c r="B14" i="3"/>
  <c r="B15" i="3"/>
  <c r="B16" i="3"/>
  <c r="B17" i="3"/>
  <c r="B11" i="3"/>
  <c r="B4" i="3"/>
  <c r="B5" i="3"/>
  <c r="B6" i="3"/>
  <c r="B7" i="3"/>
  <c r="B8" i="3"/>
  <c r="B9" i="3"/>
  <c r="B10" i="3"/>
  <c r="A283" i="6"/>
  <c r="A284" i="6"/>
  <c r="A285" i="6"/>
  <c r="A286" i="6"/>
  <c r="A287" i="6"/>
  <c r="A288" i="6"/>
  <c r="A289" i="6"/>
  <c r="A290" i="6"/>
  <c r="A291" i="6"/>
  <c r="A292" i="6"/>
  <c r="A293" i="6"/>
  <c r="A294" i="6"/>
  <c r="A295" i="6"/>
  <c r="A296" i="6"/>
  <c r="A297" i="6"/>
  <c r="A298" i="6"/>
  <c r="A299" i="6"/>
  <c r="A300"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46" i="6"/>
  <c r="A47" i="6"/>
  <c r="A48" i="6"/>
  <c r="A49" i="6"/>
  <c r="A50" i="6"/>
  <c r="A51" i="6"/>
  <c r="A52" i="6"/>
  <c r="A53" i="6"/>
  <c r="A54" i="6"/>
  <c r="A55" i="6"/>
  <c r="A56" i="6"/>
  <c r="A57" i="6"/>
  <c r="A58" i="6"/>
  <c r="A59" i="6"/>
  <c r="A60" i="6"/>
  <c r="A61" i="6"/>
  <c r="A62" i="6"/>
  <c r="A63" i="6"/>
  <c r="A64" i="6"/>
  <c r="A65" i="6"/>
  <c r="A66" i="6"/>
  <c r="A67" i="6"/>
  <c r="A68" i="6"/>
  <c r="A69" i="6"/>
  <c r="A70" i="6"/>
  <c r="A71" i="6"/>
  <c r="A5" i="6"/>
  <c r="B5" i="6"/>
  <c r="A6" i="6"/>
  <c r="B6" i="6"/>
  <c r="A7" i="6"/>
  <c r="B7" i="6"/>
  <c r="A8" i="6"/>
  <c r="B8" i="6"/>
  <c r="A9" i="6"/>
  <c r="B9" i="6"/>
  <c r="A10" i="6"/>
  <c r="B10" i="6"/>
  <c r="A11" i="6"/>
  <c r="B11"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 i="6"/>
  <c r="E3" i="2" l="1"/>
  <c r="F3" i="2" s="1"/>
  <c r="G3" i="2" s="1"/>
  <c r="H3" i="2" s="1"/>
  <c r="I3" i="2" s="1"/>
  <c r="J3" i="2" s="1"/>
  <c r="K3" i="2" s="1"/>
  <c r="L3" i="2" s="1"/>
  <c r="M3" i="2" s="1"/>
  <c r="N3" i="2" s="1"/>
  <c r="O3" i="2" s="1"/>
  <c r="P3" i="2" s="1"/>
  <c r="Q3" i="2" s="1"/>
  <c r="R3" i="2" s="1"/>
  <c r="S3" i="2" s="1"/>
  <c r="T3" i="2" s="1"/>
  <c r="U3" i="2" s="1"/>
  <c r="V3" i="2" s="1"/>
  <c r="W3" i="2" s="1"/>
  <c r="X3" i="2" s="1"/>
  <c r="Y3" i="2" s="1"/>
  <c r="Z3" i="2" s="1"/>
  <c r="AA3" i="2" s="1"/>
  <c r="AB3" i="2" s="1"/>
  <c r="AC3" i="2" s="1"/>
  <c r="AD3" i="2" s="1"/>
  <c r="AE3" i="2" s="1"/>
  <c r="AF3" i="2" s="1"/>
  <c r="AG3" i="2" s="1"/>
  <c r="AH3" i="2" s="1"/>
  <c r="AI3" i="2" s="1"/>
  <c r="AJ3" i="2" s="1"/>
  <c r="AK3" i="2" s="1"/>
  <c r="AL3" i="2" s="1"/>
  <c r="AM3" i="2" s="1"/>
  <c r="AN3" i="2" s="1"/>
  <c r="AO3" i="2" s="1"/>
  <c r="AP3" i="2" s="1"/>
  <c r="AQ3" i="2" s="1"/>
  <c r="AR3" i="2" s="1"/>
  <c r="AS3" i="2" s="1"/>
  <c r="AT3" i="2" s="1"/>
  <c r="AU3" i="2" s="1"/>
  <c r="AV3" i="2" s="1"/>
  <c r="AW3" i="2" s="1"/>
  <c r="N14" i="4" l="1"/>
  <c r="A5" i="4"/>
  <c r="A6" i="4" s="1"/>
  <c r="A7" i="4" s="1"/>
  <c r="A8" i="4" s="1"/>
  <c r="A9" i="4" s="1"/>
  <c r="A10" i="4" s="1"/>
  <c r="A11" i="4" s="1"/>
  <c r="A12" i="4" s="1"/>
  <c r="A13" i="4" s="1"/>
  <c r="A14" i="4" s="1"/>
  <c r="A15" i="4" s="1"/>
  <c r="A16" i="4" s="1"/>
  <c r="A17" i="4" s="1"/>
  <c r="A18" i="4" s="1"/>
  <c r="A19" i="4" s="1"/>
  <c r="A20" i="4" s="1"/>
  <c r="A21" i="4" s="1"/>
  <c r="A22" i="4" s="1"/>
  <c r="A2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tc={3BD7891D-DDFF-604C-8D68-29212CB35E69}</author>
    <author>tc={B8C6B05E-4CDC-904A-AD00-4725E3CBDF40}</author>
    <author>tc={1B8FC702-A51A-C64D-8E86-E948306660D3}</author>
    <author>tc={67F2F948-7F51-254D-88B2-641DDC23EB87}</author>
  </authors>
  <commentList>
    <comment ref="B3" authorId="0" shapeId="0" xr:uid="{3BD7891D-DDFF-604C-8D68-29212CB35E69}">
      <text>
        <t>[Threaded comment]
Your version of Excel allows you to read this threaded comment; however, any edits to it will get removed if the file is opened in a newer version of Excel. Learn more: https://go.microsoft.com/fwlink/?linkid=870924
Comment:
    Variable costs- operational, maintenance and fuel costs.
UNITS- ($/MWh)</t>
      </text>
    </comment>
    <comment ref="C3" authorId="1" shapeId="0" xr:uid="{B8C6B05E-4CDC-904A-AD00-4725E3CBDF40}">
      <text>
        <t>[Threaded comment]
Your version of Excel allows you to read this threaded comment; however, any edits to it will get removed if the file is opened in a newer version of Excel. Learn more: https://go.microsoft.com/fwlink/?linkid=870924
Comment:
    This is only used to calculate PPA cost, if you have PPA information you don’t need to complete this column. If you do not need to complete the column you need to delete a section of the GAMs code- go to line 59 and delete the “+ cost” at the end of the line
UNITS- ($/MW/year)</t>
      </text>
    </comment>
    <comment ref="E3" authorId="2" shapeId="0" xr:uid="{1B8FC702-A51A-C64D-8E86-E948306660D3}">
      <text>
        <t>[Threaded comment]
Your version of Excel allows you to read this threaded comment; however, any edits to it will get removed if the file is opened in a newer version of Excel. Learn more: https://go.microsoft.com/fwlink/?linkid=870924
Comment:
    Can use Dual Values from OSeMOSYS if this information isn’t available open source</t>
      </text>
    </comment>
    <comment ref="F3" authorId="3" shapeId="0" xr:uid="{67F2F948-7F51-254D-88B2-641DDC23EB87}">
      <text>
        <t>[Threaded comment]
Your version of Excel allows you to read this threaded comment; however, any edits to it will get removed if the file is opened in a newer version of Excel. Learn more: https://go.microsoft.com/fwlink/?linkid=870924
Comment:
    UNITS- MW</t>
      </text>
    </comment>
  </commentList>
</comments>
</file>

<file path=xl/sharedStrings.xml><?xml version="1.0" encoding="utf-8"?>
<sst xmlns="http://schemas.openxmlformats.org/spreadsheetml/2006/main" count="317" uniqueCount="124">
  <si>
    <t>FFRM</t>
  </si>
  <si>
    <t>Fossil Fuel Retirement Model</t>
  </si>
  <si>
    <t>FFRM Input File - Guide</t>
  </si>
  <si>
    <t>Document structure</t>
  </si>
  <si>
    <t>Version 1.0</t>
  </si>
  <si>
    <t xml:space="preserve">     Other</t>
  </si>
  <si>
    <t>The Fossil Fuel Retirement Model (FFRM), is a ….</t>
  </si>
  <si>
    <t xml:space="preserve">     Plant Data</t>
  </si>
  <si>
    <t xml:space="preserve">     FC_PPA</t>
  </si>
  <si>
    <t xml:space="preserve">     Price_Gen</t>
  </si>
  <si>
    <t xml:space="preserve">     Price_Distribution</t>
  </si>
  <si>
    <t>Parameter Constraints</t>
  </si>
  <si>
    <t>-</t>
  </si>
  <si>
    <t xml:space="preserve">      CCG in Collaboration With: </t>
  </si>
  <si>
    <t>Name</t>
  </si>
  <si>
    <t>Description</t>
  </si>
  <si>
    <t>Capacity (MW)</t>
  </si>
  <si>
    <t>Capital Cost</t>
  </si>
  <si>
    <t>The parameter capital cost refers to the initial investment required for the construction or acquisition of long-term energy infrastructure, such as power plants or renewable energy systems, typically expressed in $/kW.</t>
  </si>
  <si>
    <t>CostEsc_10-30years</t>
  </si>
  <si>
    <t>CAGR at which plant varible costs are escalated, for plants between 10 and 30 years old</t>
  </si>
  <si>
    <t>CostEsc_30plus</t>
  </si>
  <si>
    <t>CAGR at which plant varible costs are escalated, for plants older than 30 years</t>
  </si>
  <si>
    <t>CostEsc_Lessthan10</t>
  </si>
  <si>
    <t>CAGR at which plant varible costs are escalated, for plants less than 10 years old</t>
  </si>
  <si>
    <t>Scenarios</t>
  </si>
  <si>
    <t>Technologies</t>
  </si>
  <si>
    <t>Discount Rate</t>
  </si>
  <si>
    <t>The parameter discount rate refers to the rate used to discount future cash flows to their present value, based on the future weighted average cost of capital (WACC).</t>
  </si>
  <si>
    <t>Electricity Production</t>
  </si>
  <si>
    <t>The parameter electricity production refers to the total amount of electricity generated at a national scale, expressed in petajoules (PJ).</t>
  </si>
  <si>
    <t>BAU</t>
  </si>
  <si>
    <t>Scenario Name 1 (Baseline)</t>
  </si>
  <si>
    <t>PWRCOA001</t>
  </si>
  <si>
    <t>Coal power plant</t>
  </si>
  <si>
    <t>Fixed Cost</t>
  </si>
  <si>
    <t>The parameter fixed cost refers to the ongoing expenses that remain constant over time, regardless of the level of energy production, such as maintenance or operational costs,  typically expressed in millions of USD.</t>
  </si>
  <si>
    <t>Scenario Name 2 (More Ambitious)</t>
  </si>
  <si>
    <t>PWROHC001</t>
  </si>
  <si>
    <t>Light fuel oil power plant</t>
  </si>
  <si>
    <t>Generation (TWh)</t>
  </si>
  <si>
    <t>PWROHC002</t>
  </si>
  <si>
    <t>Oil fired gas turbine - SCGT</t>
  </si>
  <si>
    <t>Interest Rate</t>
  </si>
  <si>
    <t>PWRNGS001</t>
  </si>
  <si>
    <t>Natural gas power plant - CCGT</t>
  </si>
  <si>
    <t>Loan Term</t>
  </si>
  <si>
    <t>PWRNGS002</t>
  </si>
  <si>
    <t>Nautral gas power plant - SCGT</t>
  </si>
  <si>
    <t>Marginal Revenue ($/MWh)</t>
  </si>
  <si>
    <t>PWROHC003</t>
  </si>
  <si>
    <t>Light fuel oil standalone generator (1kW)</t>
  </si>
  <si>
    <t>Market Price ($/MWh)</t>
  </si>
  <si>
    <t>MaxLife</t>
  </si>
  <si>
    <t>Max life beyond which plant must be retired</t>
  </si>
  <si>
    <t>MaxPLF</t>
  </si>
  <si>
    <t>Max PLF</t>
  </si>
  <si>
    <t>Consumer Segments</t>
  </si>
  <si>
    <t>Start Year</t>
  </si>
  <si>
    <t>MinPLF</t>
  </si>
  <si>
    <t>Minimum PLF below which plant is retired</t>
  </si>
  <si>
    <t>End Year</t>
  </si>
  <si>
    <t>Name of Project</t>
  </si>
  <si>
    <t xml:space="preserve">The name of the project receiving financing.  </t>
  </si>
  <si>
    <t>Residential</t>
  </si>
  <si>
    <t>Households and individual consumers that use electricity for daily living activities, such as lighting, appliances, and heating.</t>
  </si>
  <si>
    <t>Plant Name</t>
  </si>
  <si>
    <t>Commercial</t>
  </si>
  <si>
    <t>Businesses and small enterprises that require electricity to power operations, including office equipment, lighting, and HVAC systems.</t>
  </si>
  <si>
    <t>Plant Type</t>
  </si>
  <si>
    <t>Industrial</t>
  </si>
  <si>
    <t>Large-scale manufacturers and factories that consume high levels of energy to operate machinery, production lines, and other industrial processes.</t>
  </si>
  <si>
    <t>PPA Price ($/MWh)</t>
  </si>
  <si>
    <t>Price Regime</t>
  </si>
  <si>
    <t>Share of Generation</t>
  </si>
  <si>
    <t>Straight-line depreciation</t>
  </si>
  <si>
    <t>Tariff</t>
  </si>
  <si>
    <t>MinCapacity</t>
  </si>
  <si>
    <t xml:space="preserve">This parameter relates to </t>
  </si>
  <si>
    <t>Variable Cost</t>
  </si>
  <si>
    <t>The parameter variable cost refers to the expenses that change in direct proportion to the level of energy production or consumption, such as fuel or operational costs, typically expressed in millions of USD.</t>
  </si>
  <si>
    <t>Other</t>
  </si>
  <si>
    <t>Variable</t>
  </si>
  <si>
    <t>Technology</t>
  </si>
  <si>
    <t>Value</t>
  </si>
  <si>
    <t>DiscountRate</t>
  </si>
  <si>
    <t>CoalCapex $/kW</t>
  </si>
  <si>
    <t>Plant Data</t>
  </si>
  <si>
    <t>Variable Cost ($/MWh)</t>
  </si>
  <si>
    <t>Fixed Cost ($/MWh)</t>
  </si>
  <si>
    <t>PPA</t>
  </si>
  <si>
    <t>Average revenue earned by ALL plants in $/MWh either from market or from a PPA and total coal generation forecast in TWh</t>
  </si>
  <si>
    <t>Scenario</t>
  </si>
  <si>
    <t>Market Price</t>
  </si>
  <si>
    <t>Concerned this was not previously temporally accurate</t>
  </si>
  <si>
    <t>Public Utility</t>
  </si>
  <si>
    <t>Generation Constraint (TWh)</t>
  </si>
  <si>
    <t>Price distribution (multiple of average price in Price_Gen over the years A3-K24 in different time blocks and % of time in each time block in column O)</t>
  </si>
  <si>
    <t>Peak1</t>
  </si>
  <si>
    <t>Peak2</t>
  </si>
  <si>
    <t>Peak3</t>
  </si>
  <si>
    <t>Shouder1</t>
  </si>
  <si>
    <t>Shouder2</t>
  </si>
  <si>
    <t>Shouder3</t>
  </si>
  <si>
    <t>Shouder4</t>
  </si>
  <si>
    <t>Shouder5</t>
  </si>
  <si>
    <t>Offpeak1</t>
  </si>
  <si>
    <t>Offpeak2</t>
  </si>
  <si>
    <t>PercentTime</t>
  </si>
  <si>
    <t xml:space="preserve"> </t>
  </si>
  <si>
    <t>MORUPULE A POWER STATION UNIT 1</t>
  </si>
  <si>
    <t>MORUPULE A POWER STATION UNIT 2</t>
  </si>
  <si>
    <t>MORUPULE A POWER STATION UNIT 3</t>
  </si>
  <si>
    <t>MORUPULE A POWER STATION UNIT 4</t>
  </si>
  <si>
    <t>MORUPULE B POWER STATION UNIT 1</t>
  </si>
  <si>
    <t>MORUPULE B POWER STATION UNIT 2</t>
  </si>
  <si>
    <t>MORUPULE B POWER STATION UNIT 3</t>
  </si>
  <si>
    <t>MORUPULE B POWER STATION UNIT 4</t>
  </si>
  <si>
    <t>MMAMABULA ENERGY PROJECT UNIT 1 </t>
  </si>
  <si>
    <t>MMAMABULA ENERGY PROJECT UNIT 2</t>
  </si>
  <si>
    <t>MMAMABULA ENERGY PROJECT UNIT 3</t>
  </si>
  <si>
    <t>MMAMABULA ENERGY PROJECT UNIT 4 </t>
  </si>
  <si>
    <t xml:space="preserve">AD </t>
  </si>
  <si>
    <t>ContractPriceMW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</si>
</sst>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409]#,##0.00"/>
    <numFmt numFmtId="166" formatCode="yyyy"/>
  </numFmts>
  <fonts count="30" x14ac:knownFonts="1">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sz val="11"/>
      <color theme="1"/>
      <name val="Calibri"/>
      <family val="2"/>
    </font>
    <font>
      <b/>
      <sz val="11"/>
      <color theme="1"/>
      <name val="Calibri"/>
      <family val="2"/>
    </font>
    <font>
      <b/>
      <sz val="36"/>
      <color theme="0"/>
      <name val="Aptos Narrow"/>
      <family val="2"/>
    </font>
    <font>
      <b/>
      <sz val="72"/>
      <color theme="0"/>
      <name val="Aptos Narrow"/>
      <family val="2"/>
    </font>
    <font>
      <sz val="22"/>
      <color theme="0"/>
      <name val="Calibri"/>
      <family val="2"/>
      <scheme val="minor"/>
    </font>
    <font>
      <b/>
      <sz val="24"/>
      <color theme="0"/>
      <name val="Aptos Narrow"/>
      <family val="2"/>
    </font>
    <font>
      <sz val="12"/>
      <color theme="0"/>
      <name val="Aptos Narrow"/>
      <family val="2"/>
    </font>
    <font>
      <sz val="12"/>
      <color theme="1"/>
      <name val="Aptos Narrow"/>
      <family val="2"/>
    </font>
    <font>
      <b/>
      <sz val="22"/>
      <color theme="0"/>
      <name val="Aptos Narrow"/>
      <family val="2"/>
    </font>
    <font>
      <sz val="22"/>
      <color theme="1"/>
      <name val="Aptos Narrow"/>
      <family val="2"/>
    </font>
    <font>
      <sz val="14"/>
      <color theme="1"/>
      <name val="Aptos Narrow"/>
      <family val="2"/>
    </font>
    <font>
      <b/>
      <sz val="15"/>
      <color theme="0"/>
      <name val="Aptos Narrow"/>
      <family val="2"/>
    </font>
    <font>
      <sz val="16"/>
      <color theme="1"/>
      <name val="Aptos Narrow"/>
      <family val="2"/>
    </font>
    <font>
      <b/>
      <sz val="15"/>
      <color rgb="FF000000"/>
      <name val="Aptos Narrow"/>
      <family val="2"/>
    </font>
    <font>
      <b/>
      <i/>
      <sz val="14"/>
      <name val="Aptos Narrow"/>
      <family val="2"/>
    </font>
    <font>
      <b/>
      <i/>
      <sz val="14"/>
      <color theme="1"/>
      <name val="Aptos Narrow"/>
      <family val="2"/>
    </font>
    <font>
      <sz val="12"/>
      <name val="Aptos Narrow"/>
      <family val="2"/>
    </font>
    <font>
      <sz val="11"/>
      <color rgb="FF000000"/>
      <name val="Aptos Narrow"/>
      <family val="2"/>
    </font>
    <font>
      <b/>
      <sz val="16"/>
      <color theme="1"/>
      <name val="Aptos Narrow"/>
    </font>
    <font>
      <b/>
      <sz val="20"/>
      <color theme="0"/>
      <name val="Calibri"/>
      <family val="2"/>
      <scheme val="minor"/>
    </font>
    <font>
      <sz val="11"/>
      <color rgb="FF0070C0"/>
      <name val="Calibri"/>
      <family val="2"/>
      <scheme val="minor"/>
    </font>
    <font>
      <b/>
      <sz val="12"/>
      <color theme="0"/>
      <name val="Aptos Narrow"/>
    </font>
    <font>
      <b/>
      <sz val="11"/>
      <color theme="0"/>
      <name val="Calibri"/>
      <family val="2"/>
      <scheme val="minor"/>
    </font>
    <font>
      <sz val="11"/>
      <color rgb="FFC00000"/>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1"/>
        <bgColor indexed="64"/>
      </patternFill>
    </fill>
    <fill>
      <patternFill patternType="solid">
        <fgColor theme="2"/>
        <bgColor indexed="64"/>
      </patternFill>
    </fill>
    <fill>
      <patternFill patternType="solid">
        <fgColor rgb="FF002060"/>
        <bgColor indexed="64"/>
      </patternFill>
    </fill>
    <fill>
      <patternFill patternType="solid">
        <fgColor rgb="FF002060"/>
        <bgColor rgb="FF000000"/>
      </patternFill>
    </fill>
    <fill>
      <patternFill patternType="solid">
        <fgColor rgb="FFFFFFFF"/>
        <bgColor rgb="FF000000"/>
      </patternFill>
    </fill>
    <fill>
      <patternFill patternType="solid">
        <fgColor theme="7" tint="0.79998168889431442"/>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98">
    <xf numFmtId="0" fontId="0" fillId="0" borderId="0" xfId="0"/>
    <xf numFmtId="0" fontId="0" fillId="0" borderId="1" xfId="0" applyBorder="1"/>
    <xf numFmtId="0" fontId="0" fillId="5" borderId="1" xfId="0" applyFill="1" applyBorder="1"/>
    <xf numFmtId="0" fontId="0" fillId="0" borderId="0" xfId="0" applyAlignment="1">
      <alignment horizontal="right"/>
    </xf>
    <xf numFmtId="2" fontId="0" fillId="5" borderId="0" xfId="0" applyNumberFormat="1" applyFill="1"/>
    <xf numFmtId="9" fontId="0" fillId="5" borderId="1" xfId="2" applyFont="1" applyFill="1" applyBorder="1"/>
    <xf numFmtId="0" fontId="0" fillId="6" borderId="0" xfId="0" applyFill="1"/>
    <xf numFmtId="0" fontId="8" fillId="6" borderId="0" xfId="0" applyFont="1" applyFill="1" applyAlignment="1">
      <alignment vertical="center"/>
    </xf>
    <xf numFmtId="0" fontId="9" fillId="6" borderId="0" xfId="0" applyFont="1" applyFill="1" applyAlignment="1">
      <alignment vertical="center"/>
    </xf>
    <xf numFmtId="0" fontId="10" fillId="6" borderId="0" xfId="0" applyFont="1" applyFill="1"/>
    <xf numFmtId="0" fontId="11" fillId="6" borderId="0" xfId="0" applyFont="1" applyFill="1" applyAlignment="1">
      <alignment vertical="center"/>
    </xf>
    <xf numFmtId="0" fontId="12" fillId="6" borderId="0" xfId="0" applyFont="1" applyFill="1"/>
    <xf numFmtId="0" fontId="13" fillId="6" borderId="0" xfId="0" applyFont="1" applyFill="1"/>
    <xf numFmtId="0" fontId="13" fillId="0" borderId="0" xfId="0" applyFont="1"/>
    <xf numFmtId="0" fontId="14" fillId="7" borderId="0" xfId="0" applyFont="1" applyFill="1" applyAlignment="1">
      <alignment horizontal="left" vertical="top"/>
    </xf>
    <xf numFmtId="0" fontId="16" fillId="0" borderId="0" xfId="0" applyFont="1" applyAlignment="1">
      <alignment vertical="center" wrapText="1"/>
    </xf>
    <xf numFmtId="0" fontId="17" fillId="7" borderId="5" xfId="0" applyFont="1" applyFill="1" applyBorder="1" applyAlignment="1">
      <alignment horizontal="left" vertical="top"/>
    </xf>
    <xf numFmtId="0" fontId="12" fillId="6" borderId="6" xfId="0" applyFont="1" applyFill="1" applyBorder="1"/>
    <xf numFmtId="0" fontId="12" fillId="6" borderId="8" xfId="0" applyFont="1" applyFill="1" applyBorder="1"/>
    <xf numFmtId="0" fontId="12" fillId="6" borderId="10" xfId="0" applyFont="1" applyFill="1" applyBorder="1"/>
    <xf numFmtId="0" fontId="19" fillId="8" borderId="0" xfId="0" applyFont="1" applyFill="1" applyAlignment="1">
      <alignment horizontal="left" vertical="top"/>
    </xf>
    <xf numFmtId="0" fontId="12" fillId="0" borderId="0" xfId="0" applyFont="1"/>
    <xf numFmtId="0" fontId="20" fillId="0" borderId="9" xfId="0" applyFont="1" applyBorder="1"/>
    <xf numFmtId="0" fontId="20" fillId="0" borderId="8" xfId="0" applyFont="1" applyBorder="1"/>
    <xf numFmtId="0" fontId="21" fillId="0" borderId="9" xfId="0" applyFont="1" applyBorder="1"/>
    <xf numFmtId="0" fontId="13" fillId="0" borderId="8" xfId="0" applyFont="1" applyBorder="1"/>
    <xf numFmtId="0" fontId="13" fillId="9" borderId="9" xfId="0" applyFont="1" applyFill="1" applyBorder="1"/>
    <xf numFmtId="0" fontId="13" fillId="9" borderId="9" xfId="0" applyFont="1" applyFill="1" applyBorder="1" applyAlignment="1">
      <alignment horizontal="left" vertical="center"/>
    </xf>
    <xf numFmtId="0" fontId="22" fillId="9" borderId="8" xfId="0" applyFont="1" applyFill="1" applyBorder="1" applyAlignment="1">
      <alignment horizontal="left" vertical="center"/>
    </xf>
    <xf numFmtId="0" fontId="13" fillId="9" borderId="11" xfId="0" applyFont="1" applyFill="1" applyBorder="1"/>
    <xf numFmtId="0" fontId="13" fillId="0" borderId="9" xfId="0" applyFont="1" applyBorder="1"/>
    <xf numFmtId="0" fontId="13" fillId="0" borderId="10" xfId="0" applyFont="1" applyBorder="1"/>
    <xf numFmtId="0" fontId="13" fillId="0" borderId="11" xfId="0" applyFont="1" applyBorder="1"/>
    <xf numFmtId="0" fontId="13" fillId="9" borderId="11" xfId="0" applyFont="1" applyFill="1" applyBorder="1" applyAlignment="1">
      <alignment horizontal="left" vertical="center"/>
    </xf>
    <xf numFmtId="0" fontId="22" fillId="9" borderId="10" xfId="0" applyFont="1" applyFill="1" applyBorder="1" applyAlignment="1">
      <alignment horizontal="left" vertical="center"/>
    </xf>
    <xf numFmtId="0" fontId="23" fillId="0" borderId="0" xfId="0" applyFont="1"/>
    <xf numFmtId="0" fontId="17" fillId="0" borderId="0" xfId="0" applyFont="1" applyAlignment="1">
      <alignment vertical="top"/>
    </xf>
    <xf numFmtId="0" fontId="17" fillId="7" borderId="9" xfId="0" applyFont="1" applyFill="1" applyBorder="1" applyAlignment="1">
      <alignment horizontal="left" vertical="top"/>
    </xf>
    <xf numFmtId="0" fontId="17" fillId="7" borderId="11" xfId="0" applyFont="1" applyFill="1" applyBorder="1" applyAlignment="1">
      <alignment horizontal="left" vertical="top"/>
    </xf>
    <xf numFmtId="0" fontId="0" fillId="0" borderId="0" xfId="0" applyAlignment="1">
      <alignment horizontal="left"/>
    </xf>
    <xf numFmtId="0" fontId="4" fillId="0" borderId="0" xfId="0" applyFont="1" applyAlignment="1">
      <alignment horizontal="left"/>
    </xf>
    <xf numFmtId="0" fontId="8" fillId="6" borderId="0" xfId="0" applyFont="1" applyFill="1" applyAlignment="1">
      <alignment horizontal="left"/>
    </xf>
    <xf numFmtId="0" fontId="25" fillId="6" borderId="0" xfId="0" applyFont="1" applyFill="1" applyAlignment="1">
      <alignment vertical="center"/>
    </xf>
    <xf numFmtId="0" fontId="25" fillId="6" borderId="0" xfId="0" applyFont="1" applyFill="1"/>
    <xf numFmtId="0" fontId="3" fillId="2" borderId="0" xfId="0" applyFont="1" applyFill="1"/>
    <xf numFmtId="0" fontId="7" fillId="3" borderId="0" xfId="0" applyFont="1" applyFill="1"/>
    <xf numFmtId="0" fontId="7" fillId="2" borderId="0" xfId="0" applyFont="1" applyFill="1" applyAlignment="1">
      <alignment horizontal="center"/>
    </xf>
    <xf numFmtId="165" fontId="6" fillId="0" borderId="0" xfId="0" applyNumberFormat="1" applyFont="1" applyAlignment="1">
      <alignment horizontal="center"/>
    </xf>
    <xf numFmtId="0" fontId="0" fillId="0" borderId="12" xfId="0" applyBorder="1"/>
    <xf numFmtId="165" fontId="6" fillId="0" borderId="12" xfId="0" applyNumberFormat="1" applyFont="1" applyBorder="1" applyAlignment="1">
      <alignment horizontal="center"/>
    </xf>
    <xf numFmtId="0" fontId="0" fillId="0" borderId="0" xfId="0" applyAlignment="1">
      <alignment wrapText="1"/>
    </xf>
    <xf numFmtId="0" fontId="3" fillId="2" borderId="0" xfId="0" applyFont="1" applyFill="1" applyAlignment="1">
      <alignment wrapText="1"/>
    </xf>
    <xf numFmtId="0" fontId="21" fillId="0" borderId="8" xfId="0" applyFont="1" applyBorder="1"/>
    <xf numFmtId="0" fontId="27" fillId="6" borderId="5" xfId="0" applyFont="1" applyFill="1" applyBorder="1"/>
    <xf numFmtId="0" fontId="27" fillId="6" borderId="11" xfId="0" applyFont="1" applyFill="1" applyBorder="1"/>
    <xf numFmtId="164" fontId="26" fillId="0" borderId="0" xfId="2" applyNumberFormat="1" applyFont="1" applyFill="1" applyBorder="1"/>
    <xf numFmtId="0" fontId="26" fillId="0" borderId="0" xfId="0" applyFont="1"/>
    <xf numFmtId="43" fontId="26" fillId="0" borderId="0" xfId="1" applyFont="1" applyFill="1" applyBorder="1"/>
    <xf numFmtId="9" fontId="26" fillId="0" borderId="0" xfId="0" applyNumberFormat="1" applyFont="1" applyAlignment="1">
      <alignment horizontal="right"/>
    </xf>
    <xf numFmtId="0" fontId="26" fillId="0" borderId="0" xfId="0" applyFont="1" applyAlignment="1">
      <alignment horizontal="right"/>
    </xf>
    <xf numFmtId="0" fontId="3" fillId="2" borderId="0" xfId="0" applyFont="1" applyFill="1" applyAlignment="1">
      <alignment horizontal="right"/>
    </xf>
    <xf numFmtId="166" fontId="2" fillId="9" borderId="6" xfId="0" applyNumberFormat="1" applyFont="1" applyFill="1" applyBorder="1" applyAlignment="1">
      <alignment horizontal="right" vertical="center"/>
    </xf>
    <xf numFmtId="166" fontId="2" fillId="9" borderId="10" xfId="0" applyNumberFormat="1" applyFont="1" applyFill="1" applyBorder="1" applyAlignment="1">
      <alignment horizontal="right" vertical="center"/>
    </xf>
    <xf numFmtId="166" fontId="28" fillId="4" borderId="0" xfId="0" applyNumberFormat="1" applyFont="1" applyFill="1" applyAlignment="1">
      <alignment horizontal="left" wrapText="1"/>
    </xf>
    <xf numFmtId="0" fontId="26" fillId="0" borderId="12" xfId="0" applyFont="1" applyBorder="1"/>
    <xf numFmtId="0" fontId="29" fillId="0" borderId="0" xfId="0" applyFont="1"/>
    <xf numFmtId="0" fontId="1" fillId="0" borderId="9" xfId="0" applyFont="1" applyBorder="1" applyAlignment="1">
      <alignment horizontal="left"/>
    </xf>
    <xf numFmtId="0" fontId="1" fillId="0" borderId="8" xfId="0" applyFont="1" applyBorder="1" applyAlignment="1">
      <alignment vertical="center"/>
    </xf>
    <xf numFmtId="0" fontId="0" fillId="0" borderId="9" xfId="0" applyBorder="1"/>
    <xf numFmtId="0" fontId="1" fillId="0" borderId="8" xfId="0" applyFont="1" applyBorder="1"/>
    <xf numFmtId="0" fontId="1" fillId="0" borderId="8" xfId="0" applyFont="1" applyBorder="1" applyAlignment="1">
      <alignment horizontal="left" vertical="center"/>
    </xf>
    <xf numFmtId="0" fontId="13" fillId="0" borderId="9" xfId="0" applyFont="1" applyBorder="1" applyAlignment="1">
      <alignment horizontal="left"/>
    </xf>
    <xf numFmtId="0" fontId="0" fillId="10" borderId="0" xfId="0" applyFill="1"/>
    <xf numFmtId="0" fontId="18" fillId="2" borderId="5"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8"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7" fillId="6" borderId="5" xfId="0" applyFont="1" applyFill="1" applyBorder="1" applyAlignment="1">
      <alignment horizontal="center" vertical="center"/>
    </xf>
    <xf numFmtId="0" fontId="17" fillId="6" borderId="6" xfId="0" applyFont="1" applyFill="1" applyBorder="1" applyAlignment="1">
      <alignment horizontal="center" vertical="center"/>
    </xf>
    <xf numFmtId="0" fontId="17" fillId="7" borderId="5" xfId="0" applyFont="1" applyFill="1" applyBorder="1" applyAlignment="1">
      <alignment horizontal="center" vertical="top"/>
    </xf>
    <xf numFmtId="0" fontId="17" fillId="7" borderId="6" xfId="0" applyFont="1" applyFill="1" applyBorder="1" applyAlignment="1">
      <alignment horizontal="center" vertical="top"/>
    </xf>
    <xf numFmtId="0" fontId="24" fillId="2" borderId="5" xfId="0" applyFont="1" applyFill="1" applyBorder="1" applyAlignment="1">
      <alignment horizontal="left" vertical="center" wrapText="1"/>
    </xf>
    <xf numFmtId="0" fontId="24" fillId="2" borderId="7" xfId="0" applyFont="1" applyFill="1" applyBorder="1" applyAlignment="1">
      <alignment horizontal="left" vertical="center" wrapText="1"/>
    </xf>
    <xf numFmtId="0" fontId="24" fillId="2" borderId="6" xfId="0" applyFont="1" applyFill="1" applyBorder="1" applyAlignment="1">
      <alignment horizontal="left" vertical="center" wrapText="1"/>
    </xf>
    <xf numFmtId="0" fontId="24" fillId="2" borderId="9" xfId="0" applyFont="1" applyFill="1" applyBorder="1" applyAlignment="1">
      <alignment horizontal="left" vertical="center" wrapText="1"/>
    </xf>
    <xf numFmtId="0" fontId="24" fillId="2" borderId="0" xfId="0" applyFont="1" applyFill="1" applyAlignment="1">
      <alignment horizontal="left" vertical="center" wrapText="1"/>
    </xf>
    <xf numFmtId="0" fontId="24" fillId="2" borderId="8" xfId="0" applyFont="1" applyFill="1" applyBorder="1" applyAlignment="1">
      <alignment horizontal="left" vertical="center" wrapText="1"/>
    </xf>
    <xf numFmtId="0" fontId="24" fillId="2" borderId="11" xfId="0" applyFont="1" applyFill="1" applyBorder="1" applyAlignment="1">
      <alignment horizontal="left" vertical="center" wrapText="1"/>
    </xf>
    <xf numFmtId="0" fontId="24" fillId="2" borderId="12" xfId="0" applyFont="1" applyFill="1" applyBorder="1" applyAlignment="1">
      <alignment horizontal="left" vertical="center" wrapText="1"/>
    </xf>
    <xf numFmtId="0" fontId="24" fillId="2" borderId="10" xfId="0" applyFont="1" applyFill="1" applyBorder="1" applyAlignment="1">
      <alignment horizontal="left" vertical="center" wrapText="1"/>
    </xf>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1241800</xdr:colOff>
      <xdr:row>0</xdr:row>
      <xdr:rowOff>0</xdr:rowOff>
    </xdr:from>
    <xdr:to>
      <xdr:col>10</xdr:col>
      <xdr:colOff>169648</xdr:colOff>
      <xdr:row>5</xdr:row>
      <xdr:rowOff>71211</xdr:rowOff>
    </xdr:to>
    <xdr:pic>
      <xdr:nvPicPr>
        <xdr:cNvPr id="5" name="Picture 4">
          <a:extLst>
            <a:ext uri="{FF2B5EF4-FFF2-40B4-BE49-F238E27FC236}">
              <a16:creationId xmlns:a16="http://schemas.microsoft.com/office/drawing/2014/main" id="{482034D7-E69D-834F-BA09-45B2D62E98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3754" y="0"/>
          <a:ext cx="2881708" cy="2596613"/>
        </a:xfrm>
        <a:prstGeom prst="rect">
          <a:avLst/>
        </a:prstGeom>
      </xdr:spPr>
    </xdr:pic>
    <xdr:clientData/>
  </xdr:twoCellAnchor>
  <xdr:twoCellAnchor editAs="oneCell">
    <xdr:from>
      <xdr:col>5</xdr:col>
      <xdr:colOff>609600</xdr:colOff>
      <xdr:row>0</xdr:row>
      <xdr:rowOff>137672</xdr:rowOff>
    </xdr:from>
    <xdr:to>
      <xdr:col>8</xdr:col>
      <xdr:colOff>1931548</xdr:colOff>
      <xdr:row>2</xdr:row>
      <xdr:rowOff>1010542</xdr:rowOff>
    </xdr:to>
    <xdr:pic>
      <xdr:nvPicPr>
        <xdr:cNvPr id="6" name="Picture 1">
          <a:extLst>
            <a:ext uri="{FF2B5EF4-FFF2-40B4-BE49-F238E27FC236}">
              <a16:creationId xmlns:a16="http://schemas.microsoft.com/office/drawing/2014/main" id="{8AC49718-8639-8A45-9D76-81989201C267}"/>
            </a:ext>
          </a:extLst>
        </xdr:cNvPr>
        <xdr:cNvPicPr>
          <a:picLocks noChangeAspect="1"/>
        </xdr:cNvPicPr>
      </xdr:nvPicPr>
      <xdr:blipFill rotWithShape="1">
        <a:blip xmlns:r="http://schemas.openxmlformats.org/officeDocument/2006/relationships" r:embed="rId2"/>
        <a:srcRect t="17890" b="17197"/>
        <a:stretch/>
      </xdr:blipFill>
      <xdr:spPr>
        <a:xfrm>
          <a:off x="6413500" y="137672"/>
          <a:ext cx="4702922" cy="1660270"/>
        </a:xfrm>
        <a:prstGeom prst="rect">
          <a:avLst/>
        </a:prstGeom>
      </xdr:spPr>
    </xdr:pic>
    <xdr:clientData/>
  </xdr:twoCellAnchor>
  <xdr:twoCellAnchor editAs="oneCell">
    <xdr:from>
      <xdr:col>5</xdr:col>
      <xdr:colOff>1314528</xdr:colOff>
      <xdr:row>2</xdr:row>
      <xdr:rowOff>1153740</xdr:rowOff>
    </xdr:from>
    <xdr:to>
      <xdr:col>8</xdr:col>
      <xdr:colOff>1575323</xdr:colOff>
      <xdr:row>3</xdr:row>
      <xdr:rowOff>345112</xdr:rowOff>
    </xdr:to>
    <xdr:pic>
      <xdr:nvPicPr>
        <xdr:cNvPr id="7" name="Picture 2">
          <a:extLst>
            <a:ext uri="{FF2B5EF4-FFF2-40B4-BE49-F238E27FC236}">
              <a16:creationId xmlns:a16="http://schemas.microsoft.com/office/drawing/2014/main" id="{9F1F0F13-33C4-F74A-8500-E5D87CD4AE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18428" y="1941140"/>
          <a:ext cx="3641769" cy="372472"/>
        </a:xfrm>
        <a:prstGeom prst="rect">
          <a:avLst/>
        </a:prstGeom>
      </xdr:spPr>
    </xdr:pic>
    <xdr:clientData/>
  </xdr:twoCellAnchor>
  <xdr:twoCellAnchor editAs="oneCell">
    <xdr:from>
      <xdr:col>6</xdr:col>
      <xdr:colOff>0</xdr:colOff>
      <xdr:row>16</xdr:row>
      <xdr:rowOff>54501</xdr:rowOff>
    </xdr:from>
    <xdr:to>
      <xdr:col>8</xdr:col>
      <xdr:colOff>2036302</xdr:colOff>
      <xdr:row>19</xdr:row>
      <xdr:rowOff>171675</xdr:rowOff>
    </xdr:to>
    <xdr:pic>
      <xdr:nvPicPr>
        <xdr:cNvPr id="11" name="Picture 10">
          <a:extLst>
            <a:ext uri="{FF2B5EF4-FFF2-40B4-BE49-F238E27FC236}">
              <a16:creationId xmlns:a16="http://schemas.microsoft.com/office/drawing/2014/main" id="{AC9BBBD3-726B-993E-3218-3B48F9C4B8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022429" y="5667317"/>
          <a:ext cx="4079980" cy="8178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Luscombe, Hannah M" id="{0F7A2550-7CC6-474A-BA4E-24BAF756F1FF}" userId="S::hl921@ic.ac.uk::973dae33-91e7-424d-b5e3-ff0030a07859"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3-08-23T08:34:03.06" personId="{0F7A2550-7CC6-474A-BA4E-24BAF756F1FF}" id="{3BD7891D-DDFF-604C-8D68-29212CB35E69}">
    <text>Variable costs- operational, maintenance and fuel costs.
UNITS- ($/MWh)</text>
  </threadedComment>
  <threadedComment ref="C3" dT="2023-08-25T11:03:28.74" personId="{0F7A2550-7CC6-474A-BA4E-24BAF756F1FF}" id="{B8C6B05E-4CDC-904A-AD00-4725E3CBDF40}">
    <text>This is only used to calculate PPA cost, if you have PPA information you don’t need to complete this column. If you do not need to complete the column you need to delete a section of the GAMs code- go to line 59 and delete the “+ cost” at the end of the line
UNITS- ($/MW/year)</text>
  </threadedComment>
  <threadedComment ref="E3" dT="2023-08-02T10:38:13.20" personId="{0F7A2550-7CC6-474A-BA4E-24BAF756F1FF}" id="{1B8FC702-A51A-C64D-8E86-E948306660D3}">
    <text>Can use Dual Values from OSeMOSYS if this information isn’t available open source</text>
  </threadedComment>
  <threadedComment ref="F3" dT="2023-08-31T08:57:42.77" personId="{0F7A2550-7CC6-474A-BA4E-24BAF756F1FF}" id="{67F2F948-7F51-254D-88B2-641DDC23EB87}">
    <text>UNITS- MW</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D364A-AD63-9D45-B16A-0B886628D02F}">
  <dimension ref="B1:Q46"/>
  <sheetViews>
    <sheetView showGridLines="0" topLeftCell="A11" zoomScale="75" workbookViewId="0">
      <selection activeCell="I42" sqref="I42"/>
    </sheetView>
  </sheetViews>
  <sheetFormatPr baseColWidth="10" defaultColWidth="10.83203125" defaultRowHeight="16" x14ac:dyDescent="0.2"/>
  <cols>
    <col min="1" max="1" width="5.5" style="13" customWidth="1"/>
    <col min="2" max="2" width="24.83203125" style="13" customWidth="1"/>
    <col min="3" max="3" width="17.5" style="13" bestFit="1" customWidth="1"/>
    <col min="4" max="4" width="10.83203125" style="13"/>
    <col min="5" max="5" width="17.5" style="13" bestFit="1" customWidth="1"/>
    <col min="6" max="6" width="17.5" style="13" customWidth="1"/>
    <col min="7" max="7" width="10.83203125" style="13"/>
    <col min="8" max="8" width="16" style="13" bestFit="1" customWidth="1"/>
    <col min="9" max="9" width="37.5" style="13" bestFit="1" customWidth="1"/>
    <col min="10" max="10" width="14.6640625" style="13" bestFit="1" customWidth="1"/>
    <col min="11" max="12" width="14" style="13" customWidth="1"/>
    <col min="13" max="13" width="13.5" style="13" bestFit="1" customWidth="1"/>
    <col min="14" max="16384" width="10.83203125" style="13"/>
  </cols>
  <sheetData>
    <row r="1" spans="2:17" s="6" customFormat="1" ht="15" x14ac:dyDescent="0.2"/>
    <row r="2" spans="2:17" s="6" customFormat="1" ht="47" x14ac:dyDescent="0.2">
      <c r="B2" s="7"/>
    </row>
    <row r="3" spans="2:17" s="6" customFormat="1" ht="93" x14ac:dyDescent="0.2">
      <c r="B3" s="8" t="s">
        <v>0</v>
      </c>
    </row>
    <row r="4" spans="2:17" s="6" customFormat="1" ht="29" x14ac:dyDescent="0.35">
      <c r="B4" s="9" t="s">
        <v>1</v>
      </c>
    </row>
    <row r="5" spans="2:17" s="6" customFormat="1" ht="15" x14ac:dyDescent="0.2"/>
    <row r="7" spans="2:17" ht="32" x14ac:dyDescent="0.2">
      <c r="B7" s="10" t="s">
        <v>2</v>
      </c>
      <c r="C7" s="11"/>
      <c r="D7" s="12"/>
      <c r="E7" s="12"/>
      <c r="F7" s="12"/>
      <c r="G7" s="12"/>
      <c r="H7" s="12"/>
      <c r="I7" s="12"/>
    </row>
    <row r="8" spans="2:17" ht="17" thickBot="1" x14ac:dyDescent="0.25"/>
    <row r="9" spans="2:17" ht="30" customHeight="1" thickBot="1" x14ac:dyDescent="0.25">
      <c r="B9" s="14" t="s">
        <v>3</v>
      </c>
      <c r="C9" s="11"/>
      <c r="E9" s="82" t="s">
        <v>4</v>
      </c>
      <c r="F9" s="83"/>
      <c r="G9" s="83"/>
      <c r="H9" s="83"/>
      <c r="I9" s="84"/>
      <c r="L9"/>
    </row>
    <row r="10" spans="2:17" ht="20" thickBot="1" x14ac:dyDescent="0.25">
      <c r="E10" s="15"/>
      <c r="F10" s="15"/>
      <c r="G10" s="15"/>
      <c r="H10" s="15"/>
      <c r="I10" s="15"/>
    </row>
    <row r="11" spans="2:17" ht="21" customHeight="1" x14ac:dyDescent="0.2">
      <c r="B11" s="16" t="s">
        <v>5</v>
      </c>
      <c r="C11" s="17"/>
      <c r="E11" s="73" t="s">
        <v>6</v>
      </c>
      <c r="F11" s="74"/>
      <c r="G11" s="74"/>
      <c r="H11" s="74"/>
      <c r="I11" s="75"/>
      <c r="Q11"/>
    </row>
    <row r="12" spans="2:17" ht="21" customHeight="1" x14ac:dyDescent="0.2">
      <c r="B12" s="37" t="s">
        <v>7</v>
      </c>
      <c r="C12" s="18"/>
      <c r="E12" s="76"/>
      <c r="F12" s="77"/>
      <c r="G12" s="77"/>
      <c r="H12" s="77"/>
      <c r="I12" s="78"/>
    </row>
    <row r="13" spans="2:17" ht="21" customHeight="1" x14ac:dyDescent="0.2">
      <c r="B13" s="37" t="s">
        <v>8</v>
      </c>
      <c r="C13" s="18"/>
      <c r="E13" s="76"/>
      <c r="F13" s="77"/>
      <c r="G13" s="77"/>
      <c r="H13" s="77"/>
      <c r="I13" s="78"/>
    </row>
    <row r="14" spans="2:17" ht="21" customHeight="1" x14ac:dyDescent="0.2">
      <c r="B14" s="37" t="s">
        <v>9</v>
      </c>
      <c r="C14" s="18"/>
      <c r="E14" s="76"/>
      <c r="F14" s="77"/>
      <c r="G14" s="77"/>
      <c r="H14" s="77"/>
      <c r="I14" s="78"/>
    </row>
    <row r="15" spans="2:17" ht="21" customHeight="1" thickBot="1" x14ac:dyDescent="0.25">
      <c r="B15" s="38" t="s">
        <v>10</v>
      </c>
      <c r="C15" s="19"/>
      <c r="E15" s="79"/>
      <c r="F15" s="80"/>
      <c r="G15" s="80"/>
      <c r="H15" s="80"/>
      <c r="I15" s="81"/>
    </row>
    <row r="16" spans="2:17" ht="21" thickBot="1" x14ac:dyDescent="0.25">
      <c r="B16" s="20"/>
    </row>
    <row r="17" spans="2:15" ht="20" customHeight="1" x14ac:dyDescent="0.2">
      <c r="B17" s="87" t="s">
        <v>11</v>
      </c>
      <c r="C17" s="88"/>
      <c r="D17" s="21" t="s">
        <v>12</v>
      </c>
      <c r="E17" s="89" t="s">
        <v>13</v>
      </c>
      <c r="F17" s="90"/>
      <c r="G17" s="90"/>
      <c r="H17" s="90"/>
      <c r="I17" s="91"/>
    </row>
    <row r="18" spans="2:15" ht="19" customHeight="1" x14ac:dyDescent="0.25">
      <c r="B18" s="22" t="s">
        <v>14</v>
      </c>
      <c r="C18" s="23" t="s">
        <v>15</v>
      </c>
      <c r="D18" s="21" t="s">
        <v>12</v>
      </c>
      <c r="E18" s="92"/>
      <c r="F18" s="93"/>
      <c r="G18" s="93"/>
      <c r="H18" s="93"/>
      <c r="I18" s="94"/>
    </row>
    <row r="19" spans="2:15" ht="16" customHeight="1" x14ac:dyDescent="0.2">
      <c r="B19" s="30" t="s">
        <v>16</v>
      </c>
      <c r="C19" s="25"/>
      <c r="D19" s="21" t="s">
        <v>12</v>
      </c>
      <c r="E19" s="92"/>
      <c r="F19" s="93"/>
      <c r="G19" s="93"/>
      <c r="H19" s="93"/>
      <c r="I19" s="94"/>
    </row>
    <row r="20" spans="2:15" ht="17" customHeight="1" thickBot="1" x14ac:dyDescent="0.25">
      <c r="B20" s="30" t="s">
        <v>17</v>
      </c>
      <c r="C20" s="25" t="s">
        <v>18</v>
      </c>
      <c r="D20" s="21" t="s">
        <v>12</v>
      </c>
      <c r="E20" s="95"/>
      <c r="F20" s="96"/>
      <c r="G20" s="96"/>
      <c r="H20" s="96"/>
      <c r="I20" s="97"/>
    </row>
    <row r="21" spans="2:15" x14ac:dyDescent="0.2">
      <c r="B21" s="66" t="s">
        <v>19</v>
      </c>
      <c r="C21" s="67" t="s">
        <v>20</v>
      </c>
      <c r="D21" s="21" t="s">
        <v>12</v>
      </c>
    </row>
    <row r="22" spans="2:15" ht="17" thickBot="1" x14ac:dyDescent="0.25">
      <c r="B22" s="66" t="s">
        <v>21</v>
      </c>
      <c r="C22" s="67" t="s">
        <v>22</v>
      </c>
      <c r="D22" s="21" t="s">
        <v>12</v>
      </c>
      <c r="G22" s="21" t="s">
        <v>12</v>
      </c>
    </row>
    <row r="23" spans="2:15" ht="20" x14ac:dyDescent="0.2">
      <c r="B23" s="66" t="s">
        <v>23</v>
      </c>
      <c r="C23" s="67" t="s">
        <v>24</v>
      </c>
      <c r="D23" s="21" t="s">
        <v>12</v>
      </c>
      <c r="E23" s="85" t="s">
        <v>25</v>
      </c>
      <c r="F23" s="86"/>
      <c r="G23" s="21" t="s">
        <v>12</v>
      </c>
      <c r="H23" s="87" t="s">
        <v>26</v>
      </c>
      <c r="I23" s="88"/>
    </row>
    <row r="24" spans="2:15" ht="19" x14ac:dyDescent="0.25">
      <c r="B24" s="30" t="s">
        <v>27</v>
      </c>
      <c r="C24" s="25" t="s">
        <v>28</v>
      </c>
      <c r="D24" s="21" t="s">
        <v>12</v>
      </c>
      <c r="E24" s="24" t="s">
        <v>14</v>
      </c>
      <c r="F24" s="52" t="s">
        <v>15</v>
      </c>
      <c r="G24" s="21" t="s">
        <v>12</v>
      </c>
      <c r="H24" s="22" t="s">
        <v>14</v>
      </c>
      <c r="I24" s="23" t="s">
        <v>15</v>
      </c>
    </row>
    <row r="25" spans="2:15" x14ac:dyDescent="0.2">
      <c r="B25" s="30" t="s">
        <v>29</v>
      </c>
      <c r="C25" s="25" t="s">
        <v>30</v>
      </c>
      <c r="D25" s="21" t="s">
        <v>12</v>
      </c>
      <c r="E25" s="26" t="s">
        <v>31</v>
      </c>
      <c r="F25" s="25" t="s">
        <v>32</v>
      </c>
      <c r="G25" s="21" t="s">
        <v>12</v>
      </c>
      <c r="H25" s="27" t="s">
        <v>33</v>
      </c>
      <c r="I25" s="28" t="s">
        <v>34</v>
      </c>
    </row>
    <row r="26" spans="2:15" x14ac:dyDescent="0.2">
      <c r="B26" s="30" t="s">
        <v>35</v>
      </c>
      <c r="C26" s="25" t="s">
        <v>36</v>
      </c>
      <c r="D26" s="21" t="s">
        <v>12</v>
      </c>
      <c r="E26" s="26" t="s">
        <v>122</v>
      </c>
      <c r="F26" s="25" t="s">
        <v>37</v>
      </c>
      <c r="G26" s="21" t="s">
        <v>12</v>
      </c>
      <c r="H26" s="27" t="s">
        <v>38</v>
      </c>
      <c r="I26" s="28" t="s">
        <v>39</v>
      </c>
    </row>
    <row r="27" spans="2:15" x14ac:dyDescent="0.2">
      <c r="B27" s="68" t="s">
        <v>40</v>
      </c>
      <c r="C27" s="25"/>
      <c r="D27" s="21" t="s">
        <v>12</v>
      </c>
      <c r="E27" s="26" t="s">
        <v>109</v>
      </c>
      <c r="F27" s="25"/>
      <c r="G27" s="21" t="s">
        <v>12</v>
      </c>
      <c r="H27" s="27" t="s">
        <v>41</v>
      </c>
      <c r="I27" s="28" t="s">
        <v>42</v>
      </c>
    </row>
    <row r="28" spans="2:15" x14ac:dyDescent="0.2">
      <c r="B28" s="30" t="s">
        <v>43</v>
      </c>
      <c r="C28" s="69"/>
      <c r="D28" s="21" t="s">
        <v>12</v>
      </c>
      <c r="E28" s="26" t="s">
        <v>109</v>
      </c>
      <c r="F28" s="25"/>
      <c r="G28" s="21" t="s">
        <v>12</v>
      </c>
      <c r="H28" s="27" t="s">
        <v>44</v>
      </c>
      <c r="I28" s="28" t="s">
        <v>45</v>
      </c>
    </row>
    <row r="29" spans="2:15" x14ac:dyDescent="0.2">
      <c r="B29" s="30" t="s">
        <v>46</v>
      </c>
      <c r="C29" s="69"/>
      <c r="D29" s="21" t="s">
        <v>12</v>
      </c>
      <c r="E29" s="26" t="s">
        <v>109</v>
      </c>
      <c r="F29" s="25"/>
      <c r="G29" s="21" t="s">
        <v>12</v>
      </c>
      <c r="H29" s="27" t="s">
        <v>47</v>
      </c>
      <c r="I29" s="28" t="s">
        <v>48</v>
      </c>
    </row>
    <row r="30" spans="2:15" x14ac:dyDescent="0.2">
      <c r="B30" s="68" t="s">
        <v>49</v>
      </c>
      <c r="C30" s="25"/>
      <c r="D30" s="21" t="s">
        <v>12</v>
      </c>
      <c r="E30" s="26" t="s">
        <v>109</v>
      </c>
      <c r="F30" s="25"/>
      <c r="G30" s="21" t="s">
        <v>12</v>
      </c>
      <c r="H30" s="27" t="s">
        <v>50</v>
      </c>
      <c r="I30" s="28" t="s">
        <v>51</v>
      </c>
    </row>
    <row r="31" spans="2:15" ht="17" thickBot="1" x14ac:dyDescent="0.25">
      <c r="B31" s="30" t="s">
        <v>52</v>
      </c>
      <c r="C31" s="25"/>
      <c r="D31" s="21" t="s">
        <v>12</v>
      </c>
      <c r="E31" s="29"/>
      <c r="F31" s="31"/>
      <c r="G31" s="21" t="s">
        <v>12</v>
      </c>
      <c r="H31" s="33"/>
      <c r="I31" s="34"/>
    </row>
    <row r="32" spans="2:15" ht="17" customHeight="1" thickBot="1" x14ac:dyDescent="0.25">
      <c r="B32" s="66" t="s">
        <v>53</v>
      </c>
      <c r="C32" s="70" t="s">
        <v>54</v>
      </c>
      <c r="D32" s="21" t="s">
        <v>12</v>
      </c>
      <c r="G32" s="21" t="s">
        <v>12</v>
      </c>
      <c r="L32" s="36"/>
      <c r="M32" s="36"/>
      <c r="O32"/>
    </row>
    <row r="33" spans="2:11" ht="17" customHeight="1" x14ac:dyDescent="0.2">
      <c r="B33" s="66" t="s">
        <v>55</v>
      </c>
      <c r="C33" s="70" t="s">
        <v>56</v>
      </c>
      <c r="D33" s="21" t="s">
        <v>12</v>
      </c>
      <c r="E33" s="87" t="s">
        <v>57</v>
      </c>
      <c r="F33" s="88"/>
      <c r="G33" s="21" t="s">
        <v>12</v>
      </c>
      <c r="H33" s="53" t="s">
        <v>58</v>
      </c>
      <c r="I33" s="61">
        <v>44197</v>
      </c>
      <c r="K33" s="35"/>
    </row>
    <row r="34" spans="2:11" ht="17" customHeight="1" thickBot="1" x14ac:dyDescent="0.3">
      <c r="B34" s="66" t="s">
        <v>59</v>
      </c>
      <c r="C34" s="70" t="s">
        <v>60</v>
      </c>
      <c r="D34" s="21" t="s">
        <v>12</v>
      </c>
      <c r="E34" s="22" t="s">
        <v>14</v>
      </c>
      <c r="F34" s="23" t="s">
        <v>15</v>
      </c>
      <c r="G34" s="21" t="s">
        <v>12</v>
      </c>
      <c r="H34" s="54" t="s">
        <v>61</v>
      </c>
      <c r="I34" s="62">
        <v>62094</v>
      </c>
    </row>
    <row r="35" spans="2:11" ht="17" customHeight="1" x14ac:dyDescent="0.2">
      <c r="B35" s="71" t="s">
        <v>62</v>
      </c>
      <c r="C35" s="25" t="s">
        <v>63</v>
      </c>
      <c r="D35" s="21" t="s">
        <v>12</v>
      </c>
      <c r="E35" s="26" t="s">
        <v>64</v>
      </c>
      <c r="F35" s="25" t="s">
        <v>65</v>
      </c>
      <c r="G35" s="21" t="s">
        <v>12</v>
      </c>
    </row>
    <row r="36" spans="2:11" ht="17" customHeight="1" x14ac:dyDescent="0.2">
      <c r="B36" s="30" t="s">
        <v>66</v>
      </c>
      <c r="C36" s="25"/>
      <c r="D36" s="21" t="s">
        <v>12</v>
      </c>
      <c r="E36" s="26" t="s">
        <v>67</v>
      </c>
      <c r="F36" s="25" t="s">
        <v>68</v>
      </c>
      <c r="G36" s="21" t="s">
        <v>12</v>
      </c>
    </row>
    <row r="37" spans="2:11" ht="17" customHeight="1" x14ac:dyDescent="0.2">
      <c r="B37" s="30" t="s">
        <v>69</v>
      </c>
      <c r="C37" s="25"/>
      <c r="D37" s="21" t="s">
        <v>12</v>
      </c>
      <c r="E37" s="26" t="s">
        <v>70</v>
      </c>
      <c r="F37" s="25" t="s">
        <v>71</v>
      </c>
      <c r="G37" s="21" t="s">
        <v>12</v>
      </c>
    </row>
    <row r="38" spans="2:11" x14ac:dyDescent="0.2">
      <c r="B38" s="30" t="s">
        <v>72</v>
      </c>
      <c r="C38" s="25"/>
      <c r="D38" s="21" t="s">
        <v>12</v>
      </c>
      <c r="E38" s="26"/>
      <c r="F38" s="25"/>
      <c r="G38" s="21" t="s">
        <v>12</v>
      </c>
    </row>
    <row r="39" spans="2:11" ht="17" thickBot="1" x14ac:dyDescent="0.25">
      <c r="B39" s="30" t="s">
        <v>73</v>
      </c>
      <c r="C39" s="25"/>
      <c r="D39" s="21" t="s">
        <v>12</v>
      </c>
      <c r="E39" s="29"/>
      <c r="F39" s="31"/>
      <c r="G39" s="21" t="s">
        <v>12</v>
      </c>
    </row>
    <row r="40" spans="2:11" x14ac:dyDescent="0.2">
      <c r="B40" s="30" t="s">
        <v>74</v>
      </c>
      <c r="C40" s="25"/>
      <c r="D40" s="21" t="s">
        <v>12</v>
      </c>
      <c r="G40" s="21" t="s">
        <v>12</v>
      </c>
    </row>
    <row r="41" spans="2:11" x14ac:dyDescent="0.2">
      <c r="B41" s="30" t="s">
        <v>58</v>
      </c>
      <c r="C41" s="25"/>
      <c r="D41" s="21" t="s">
        <v>12</v>
      </c>
      <c r="G41" s="21"/>
    </row>
    <row r="42" spans="2:11" x14ac:dyDescent="0.2">
      <c r="B42" s="66" t="s">
        <v>75</v>
      </c>
      <c r="C42" s="70" t="s">
        <v>75</v>
      </c>
      <c r="D42" s="21" t="s">
        <v>12</v>
      </c>
    </row>
    <row r="43" spans="2:11" x14ac:dyDescent="0.2">
      <c r="B43" s="30" t="s">
        <v>76</v>
      </c>
      <c r="C43" s="25"/>
      <c r="D43" s="21" t="s">
        <v>12</v>
      </c>
    </row>
    <row r="44" spans="2:11" x14ac:dyDescent="0.2">
      <c r="B44" s="30" t="s">
        <v>77</v>
      </c>
      <c r="C44" s="25" t="s">
        <v>78</v>
      </c>
      <c r="D44" s="21"/>
    </row>
    <row r="45" spans="2:11" ht="17" thickBot="1" x14ac:dyDescent="0.25">
      <c r="B45" s="32" t="s">
        <v>79</v>
      </c>
      <c r="C45" s="31" t="s">
        <v>80</v>
      </c>
      <c r="D45" s="21" t="s">
        <v>12</v>
      </c>
    </row>
    <row r="46" spans="2:11" x14ac:dyDescent="0.2">
      <c r="E46" s="13" t="s">
        <v>109</v>
      </c>
    </row>
  </sheetData>
  <sortState xmlns:xlrd2="http://schemas.microsoft.com/office/spreadsheetml/2017/richdata2" ref="B19:C45">
    <sortCondition ref="B19:B45"/>
  </sortState>
  <mergeCells count="7">
    <mergeCell ref="E11:I15"/>
    <mergeCell ref="E9:I9"/>
    <mergeCell ref="E23:F23"/>
    <mergeCell ref="E33:F33"/>
    <mergeCell ref="B17:C17"/>
    <mergeCell ref="H23:I23"/>
    <mergeCell ref="E17:I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V86"/>
  <sheetViews>
    <sheetView showGridLines="0" zoomScale="133" workbookViewId="0">
      <selection activeCell="D11" sqref="D11"/>
    </sheetView>
  </sheetViews>
  <sheetFormatPr baseColWidth="10" defaultColWidth="8.83203125" defaultRowHeight="15" x14ac:dyDescent="0.2"/>
  <cols>
    <col min="1" max="1" width="20.6640625" bestFit="1" customWidth="1"/>
    <col min="2" max="2" width="12.5" bestFit="1" customWidth="1"/>
    <col min="3" max="3" width="6.6640625" bestFit="1" customWidth="1"/>
  </cols>
  <sheetData>
    <row r="1" spans="1:48" ht="47" x14ac:dyDescent="0.55000000000000004">
      <c r="A1" s="41" t="s">
        <v>0</v>
      </c>
      <c r="B1" s="42"/>
      <c r="C1" s="42"/>
      <c r="D1" s="42"/>
      <c r="E1" s="42"/>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row>
    <row r="2" spans="1:48" ht="26" x14ac:dyDescent="0.3">
      <c r="A2" s="43" t="s">
        <v>81</v>
      </c>
      <c r="B2" s="42"/>
      <c r="C2" s="42"/>
      <c r="D2" s="42"/>
      <c r="E2" s="42"/>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row>
    <row r="3" spans="1:48" x14ac:dyDescent="0.2">
      <c r="A3" s="44" t="s">
        <v>82</v>
      </c>
      <c r="B3" s="44" t="s">
        <v>83</v>
      </c>
      <c r="C3" s="60" t="s">
        <v>84</v>
      </c>
    </row>
    <row r="4" spans="1:48" x14ac:dyDescent="0.2">
      <c r="A4" t="s">
        <v>43</v>
      </c>
      <c r="B4" t="str">
        <f>IF(Definitions!H25="","",Definitions!H25)</f>
        <v>PWRCOA001</v>
      </c>
      <c r="C4" s="58">
        <v>0.05</v>
      </c>
    </row>
    <row r="5" spans="1:48" hidden="1" x14ac:dyDescent="0.2">
      <c r="A5" t="s">
        <v>43</v>
      </c>
      <c r="B5" t="str">
        <f>IF(Definitions!H26="","",Definitions!H26)</f>
        <v>PWROHC001</v>
      </c>
      <c r="C5" s="58">
        <v>0</v>
      </c>
    </row>
    <row r="6" spans="1:48" hidden="1" x14ac:dyDescent="0.2">
      <c r="A6" t="s">
        <v>43</v>
      </c>
      <c r="B6" t="str">
        <f>IF(Definitions!H27="","",Definitions!H27)</f>
        <v>PWROHC002</v>
      </c>
      <c r="C6" s="58">
        <v>0</v>
      </c>
    </row>
    <row r="7" spans="1:48" hidden="1" x14ac:dyDescent="0.2">
      <c r="A7" t="s">
        <v>43</v>
      </c>
      <c r="B7" t="str">
        <f>IF(Definitions!H28="","",Definitions!H28)</f>
        <v>PWRNGS001</v>
      </c>
      <c r="C7" s="58">
        <v>0</v>
      </c>
    </row>
    <row r="8" spans="1:48" hidden="1" x14ac:dyDescent="0.2">
      <c r="A8" t="s">
        <v>43</v>
      </c>
      <c r="B8" t="str">
        <f>IF(Definitions!H29="","",Definitions!H29)</f>
        <v>PWRNGS002</v>
      </c>
      <c r="C8" s="58">
        <v>0</v>
      </c>
    </row>
    <row r="9" spans="1:48" hidden="1" x14ac:dyDescent="0.2">
      <c r="A9" t="s">
        <v>43</v>
      </c>
      <c r="B9" t="str">
        <f>IF(Definitions!H30="","",Definitions!H30)</f>
        <v>PWROHC003</v>
      </c>
      <c r="C9" s="58">
        <v>0</v>
      </c>
    </row>
    <row r="10" spans="1:48" hidden="1" x14ac:dyDescent="0.2">
      <c r="A10" t="s">
        <v>43</v>
      </c>
      <c r="B10" t="str">
        <f>IF(Definitions!H31="","",Definitions!H31)</f>
        <v/>
      </c>
      <c r="C10" s="58">
        <v>0</v>
      </c>
    </row>
    <row r="11" spans="1:48" x14ac:dyDescent="0.2">
      <c r="A11" t="s">
        <v>46</v>
      </c>
      <c r="B11" t="str">
        <f>IF(Definitions!H25="","",Definitions!H25)</f>
        <v>PWRCOA001</v>
      </c>
      <c r="C11" s="59">
        <v>15</v>
      </c>
    </row>
    <row r="12" spans="1:48" hidden="1" x14ac:dyDescent="0.2">
      <c r="A12" t="s">
        <v>46</v>
      </c>
      <c r="B12" t="str">
        <f>IF(Definitions!H26="","",Definitions!H26)</f>
        <v>PWROHC001</v>
      </c>
      <c r="C12" s="59">
        <v>0</v>
      </c>
    </row>
    <row r="13" spans="1:48" hidden="1" x14ac:dyDescent="0.2">
      <c r="A13" t="s">
        <v>46</v>
      </c>
      <c r="B13" t="str">
        <f>IF(Definitions!H27="","",Definitions!H27)</f>
        <v>PWROHC002</v>
      </c>
      <c r="C13" s="59">
        <v>0</v>
      </c>
    </row>
    <row r="14" spans="1:48" hidden="1" x14ac:dyDescent="0.2">
      <c r="A14" t="s">
        <v>46</v>
      </c>
      <c r="B14" t="str">
        <f>IF(Definitions!H28="","",Definitions!H28)</f>
        <v>PWRNGS001</v>
      </c>
      <c r="C14" s="59">
        <v>0</v>
      </c>
    </row>
    <row r="15" spans="1:48" hidden="1" x14ac:dyDescent="0.2">
      <c r="A15" t="s">
        <v>46</v>
      </c>
      <c r="B15" t="str">
        <f>IF(Definitions!H29="","",Definitions!H29)</f>
        <v>PWRNGS002</v>
      </c>
      <c r="C15" s="59">
        <v>0</v>
      </c>
    </row>
    <row r="16" spans="1:48" hidden="1" x14ac:dyDescent="0.2">
      <c r="A16" t="s">
        <v>46</v>
      </c>
      <c r="B16" t="str">
        <f>IF(Definitions!H30="","",Definitions!H30)</f>
        <v>PWROHC003</v>
      </c>
      <c r="C16" s="59">
        <v>0</v>
      </c>
    </row>
    <row r="17" spans="1:3" hidden="1" x14ac:dyDescent="0.2">
      <c r="A17" t="s">
        <v>46</v>
      </c>
      <c r="B17" t="str">
        <f>IF(Definitions!H31="","",Definitions!H31)</f>
        <v/>
      </c>
      <c r="C17" s="59">
        <v>0</v>
      </c>
    </row>
    <row r="18" spans="1:3" x14ac:dyDescent="0.2">
      <c r="A18" s="39" t="s">
        <v>85</v>
      </c>
      <c r="B18" s="39" t="str">
        <f>IF(Definitions!H25="","",Definitions!H25)</f>
        <v>PWRCOA001</v>
      </c>
      <c r="C18" s="55">
        <v>0.06</v>
      </c>
    </row>
    <row r="19" spans="1:3" x14ac:dyDescent="0.2">
      <c r="A19" s="39" t="s">
        <v>75</v>
      </c>
      <c r="B19" s="39" t="str">
        <f>IF(Definitions!H25="","",Definitions!H25)</f>
        <v>PWRCOA001</v>
      </c>
      <c r="C19" s="55">
        <v>2.5000000000000001E-2</v>
      </c>
    </row>
    <row r="20" spans="1:3" x14ac:dyDescent="0.2">
      <c r="A20" s="39" t="s">
        <v>86</v>
      </c>
      <c r="B20" s="39" t="str">
        <f>IF(Definitions!H25="","",Definitions!H25)</f>
        <v>PWRCOA001</v>
      </c>
      <c r="C20" s="56">
        <v>100</v>
      </c>
    </row>
    <row r="21" spans="1:3" x14ac:dyDescent="0.2">
      <c r="A21" s="40" t="s">
        <v>23</v>
      </c>
      <c r="B21" s="39" t="str">
        <f>IF(Definitions!H25="","",Definitions!H25)</f>
        <v>PWRCOA001</v>
      </c>
      <c r="C21" s="55">
        <v>5.0000000000000001E-3</v>
      </c>
    </row>
    <row r="22" spans="1:3" x14ac:dyDescent="0.2">
      <c r="A22" s="40" t="s">
        <v>19</v>
      </c>
      <c r="B22" s="39" t="str">
        <f>IF(Definitions!H25="","",Definitions!H25)</f>
        <v>PWRCOA001</v>
      </c>
      <c r="C22" s="55">
        <v>0.01</v>
      </c>
    </row>
    <row r="23" spans="1:3" x14ac:dyDescent="0.2">
      <c r="A23" s="40" t="s">
        <v>21</v>
      </c>
      <c r="B23" s="39" t="str">
        <f>IF(Definitions!H25="","",Definitions!H25)</f>
        <v>PWRCOA001</v>
      </c>
      <c r="C23" s="55">
        <v>1.4999999999999999E-2</v>
      </c>
    </row>
    <row r="24" spans="1:3" x14ac:dyDescent="0.2">
      <c r="A24" s="39" t="s">
        <v>59</v>
      </c>
      <c r="B24" s="39" t="str">
        <f>IF(Definitions!H25="","",Definitions!H25)</f>
        <v>PWRCOA001</v>
      </c>
      <c r="C24" s="55">
        <v>0.25</v>
      </c>
    </row>
    <row r="25" spans="1:3" x14ac:dyDescent="0.2">
      <c r="A25" s="39" t="s">
        <v>55</v>
      </c>
      <c r="B25" s="39" t="str">
        <f>IF(Definitions!H25="","",Definitions!H25)</f>
        <v>PWRCOA001</v>
      </c>
      <c r="C25" s="55">
        <v>0.85</v>
      </c>
    </row>
    <row r="26" spans="1:3" x14ac:dyDescent="0.2">
      <c r="A26" s="39" t="s">
        <v>53</v>
      </c>
      <c r="B26" s="39" t="str">
        <f>IF(Definitions!H25="","",Definitions!H25)</f>
        <v>PWRCOA001</v>
      </c>
      <c r="C26" s="57">
        <v>40</v>
      </c>
    </row>
    <row r="27" spans="1:3" hidden="1" x14ac:dyDescent="0.2">
      <c r="A27" s="39" t="s">
        <v>85</v>
      </c>
      <c r="B27" s="39" t="str">
        <f>IF(Definitions!H26="","",Definitions!H26)</f>
        <v>PWROHC001</v>
      </c>
      <c r="C27" s="55">
        <v>0</v>
      </c>
    </row>
    <row r="28" spans="1:3" hidden="1" x14ac:dyDescent="0.2">
      <c r="A28" s="39" t="s">
        <v>75</v>
      </c>
      <c r="B28" s="39" t="str">
        <f>IF(Definitions!H26="","",Definitions!H26)</f>
        <v>PWROHC001</v>
      </c>
      <c r="C28" s="55">
        <v>0</v>
      </c>
    </row>
    <row r="29" spans="1:3" hidden="1" x14ac:dyDescent="0.2">
      <c r="A29" s="39" t="s">
        <v>86</v>
      </c>
      <c r="B29" s="39" t="str">
        <f>IF(Definitions!H26="","",Definitions!H26)</f>
        <v>PWROHC001</v>
      </c>
      <c r="C29" s="56">
        <v>0</v>
      </c>
    </row>
    <row r="30" spans="1:3" hidden="1" x14ac:dyDescent="0.2">
      <c r="A30" s="40" t="s">
        <v>23</v>
      </c>
      <c r="B30" s="39" t="str">
        <f>IF(Definitions!H26="","",Definitions!H26)</f>
        <v>PWROHC001</v>
      </c>
      <c r="C30" s="55">
        <v>0</v>
      </c>
    </row>
    <row r="31" spans="1:3" hidden="1" x14ac:dyDescent="0.2">
      <c r="A31" s="40" t="s">
        <v>19</v>
      </c>
      <c r="B31" s="39" t="str">
        <f>IF(Definitions!H26="","",Definitions!H26)</f>
        <v>PWROHC001</v>
      </c>
      <c r="C31" s="55">
        <v>0</v>
      </c>
    </row>
    <row r="32" spans="1:3" hidden="1" x14ac:dyDescent="0.2">
      <c r="A32" s="40" t="s">
        <v>21</v>
      </c>
      <c r="B32" s="39" t="str">
        <f>IF(Definitions!H26="","",Definitions!H26)</f>
        <v>PWROHC001</v>
      </c>
      <c r="C32" s="55">
        <v>0</v>
      </c>
    </row>
    <row r="33" spans="1:3" hidden="1" x14ac:dyDescent="0.2">
      <c r="A33" s="39" t="s">
        <v>59</v>
      </c>
      <c r="B33" s="39" t="str">
        <f>IF(Definitions!H26="","",Definitions!H26)</f>
        <v>PWROHC001</v>
      </c>
      <c r="C33" s="55">
        <v>0</v>
      </c>
    </row>
    <row r="34" spans="1:3" hidden="1" x14ac:dyDescent="0.2">
      <c r="A34" s="39" t="s">
        <v>55</v>
      </c>
      <c r="B34" s="39" t="str">
        <f>IF(Definitions!H26="","",Definitions!H26)</f>
        <v>PWROHC001</v>
      </c>
      <c r="C34" s="55">
        <v>0</v>
      </c>
    </row>
    <row r="35" spans="1:3" hidden="1" x14ac:dyDescent="0.2">
      <c r="A35" s="39" t="s">
        <v>53</v>
      </c>
      <c r="B35" s="39" t="str">
        <f>IF(Definitions!H26="","",Definitions!H26)</f>
        <v>PWROHC001</v>
      </c>
      <c r="C35" s="59">
        <v>0</v>
      </c>
    </row>
    <row r="36" spans="1:3" hidden="1" x14ac:dyDescent="0.2">
      <c r="A36" s="39" t="s">
        <v>85</v>
      </c>
      <c r="B36" s="39" t="str">
        <f>IF(Definitions!H27="","",Definitions!H27)</f>
        <v>PWROHC002</v>
      </c>
      <c r="C36" s="59">
        <v>0</v>
      </c>
    </row>
    <row r="37" spans="1:3" hidden="1" x14ac:dyDescent="0.2">
      <c r="A37" s="39" t="s">
        <v>75</v>
      </c>
      <c r="B37" s="39" t="str">
        <f>IF(Definitions!H27="","",Definitions!H27)</f>
        <v>PWROHC002</v>
      </c>
      <c r="C37" s="59">
        <v>0</v>
      </c>
    </row>
    <row r="38" spans="1:3" hidden="1" x14ac:dyDescent="0.2">
      <c r="A38" s="39" t="s">
        <v>86</v>
      </c>
      <c r="B38" s="39" t="str">
        <f>IF(Definitions!H27="","",Definitions!H27)</f>
        <v>PWROHC002</v>
      </c>
      <c r="C38" s="59">
        <v>0</v>
      </c>
    </row>
    <row r="39" spans="1:3" hidden="1" x14ac:dyDescent="0.2">
      <c r="A39" s="40" t="s">
        <v>23</v>
      </c>
      <c r="B39" s="39" t="str">
        <f>IF(Definitions!H27="","",Definitions!H27)</f>
        <v>PWROHC002</v>
      </c>
      <c r="C39" s="59">
        <v>0</v>
      </c>
    </row>
    <row r="40" spans="1:3" hidden="1" x14ac:dyDescent="0.2">
      <c r="A40" s="40" t="s">
        <v>19</v>
      </c>
      <c r="B40" s="39" t="str">
        <f>IF(Definitions!H27="","",Definitions!H27)</f>
        <v>PWROHC002</v>
      </c>
      <c r="C40" s="59">
        <v>0</v>
      </c>
    </row>
    <row r="41" spans="1:3" hidden="1" x14ac:dyDescent="0.2">
      <c r="A41" s="40" t="s">
        <v>21</v>
      </c>
      <c r="B41" s="39" t="str">
        <f>IF(Definitions!H27="","",Definitions!H27)</f>
        <v>PWROHC002</v>
      </c>
      <c r="C41" s="59">
        <v>0</v>
      </c>
    </row>
    <row r="42" spans="1:3" hidden="1" x14ac:dyDescent="0.2">
      <c r="A42" s="39" t="s">
        <v>59</v>
      </c>
      <c r="B42" s="39" t="str">
        <f>IF(Definitions!H27="","",Definitions!H27)</f>
        <v>PWROHC002</v>
      </c>
      <c r="C42" s="59">
        <v>0</v>
      </c>
    </row>
    <row r="43" spans="1:3" hidden="1" x14ac:dyDescent="0.2">
      <c r="A43" s="39" t="s">
        <v>55</v>
      </c>
      <c r="B43" s="39" t="str">
        <f>IF(Definitions!H27="","",Definitions!H27)</f>
        <v>PWROHC002</v>
      </c>
      <c r="C43" s="59">
        <v>0</v>
      </c>
    </row>
    <row r="44" spans="1:3" hidden="1" x14ac:dyDescent="0.2">
      <c r="A44" s="39" t="s">
        <v>53</v>
      </c>
      <c r="B44" s="39" t="str">
        <f>IF(Definitions!H27="","",Definitions!H27)</f>
        <v>PWROHC002</v>
      </c>
      <c r="C44" s="59">
        <v>0</v>
      </c>
    </row>
    <row r="45" spans="1:3" hidden="1" x14ac:dyDescent="0.2">
      <c r="A45" s="39" t="s">
        <v>85</v>
      </c>
      <c r="B45" s="39" t="str">
        <f>IF(Definitions!H28="","",Definitions!H28)</f>
        <v>PWRNGS001</v>
      </c>
      <c r="C45" s="59">
        <v>0</v>
      </c>
    </row>
    <row r="46" spans="1:3" hidden="1" x14ac:dyDescent="0.2">
      <c r="A46" s="39" t="s">
        <v>75</v>
      </c>
      <c r="B46" s="39" t="str">
        <f>IF(Definitions!H28="","",Definitions!H28)</f>
        <v>PWRNGS001</v>
      </c>
      <c r="C46" s="59">
        <v>0</v>
      </c>
    </row>
    <row r="47" spans="1:3" hidden="1" x14ac:dyDescent="0.2">
      <c r="A47" s="39" t="s">
        <v>86</v>
      </c>
      <c r="B47" s="39" t="str">
        <f>IF(Definitions!H28="","",Definitions!H28)</f>
        <v>PWRNGS001</v>
      </c>
      <c r="C47" s="59">
        <v>0</v>
      </c>
    </row>
    <row r="48" spans="1:3" hidden="1" x14ac:dyDescent="0.2">
      <c r="A48" s="40" t="s">
        <v>23</v>
      </c>
      <c r="B48" s="39" t="str">
        <f>IF(Definitions!H28="","",Definitions!H28)</f>
        <v>PWRNGS001</v>
      </c>
      <c r="C48" s="59">
        <v>0</v>
      </c>
    </row>
    <row r="49" spans="1:3" hidden="1" x14ac:dyDescent="0.2">
      <c r="A49" s="40" t="s">
        <v>19</v>
      </c>
      <c r="B49" s="39" t="str">
        <f>IF(Definitions!H28="","",Definitions!H28)</f>
        <v>PWRNGS001</v>
      </c>
      <c r="C49" s="59">
        <v>0</v>
      </c>
    </row>
    <row r="50" spans="1:3" hidden="1" x14ac:dyDescent="0.2">
      <c r="A50" s="40" t="s">
        <v>21</v>
      </c>
      <c r="B50" s="39" t="str">
        <f>IF(Definitions!H28="","",Definitions!H28)</f>
        <v>PWRNGS001</v>
      </c>
      <c r="C50" s="59">
        <v>0</v>
      </c>
    </row>
    <row r="51" spans="1:3" hidden="1" x14ac:dyDescent="0.2">
      <c r="A51" s="39" t="s">
        <v>59</v>
      </c>
      <c r="B51" s="39" t="str">
        <f>IF(Definitions!H28="","",Definitions!H28)</f>
        <v>PWRNGS001</v>
      </c>
      <c r="C51" s="59">
        <v>0</v>
      </c>
    </row>
    <row r="52" spans="1:3" hidden="1" x14ac:dyDescent="0.2">
      <c r="A52" s="39" t="s">
        <v>55</v>
      </c>
      <c r="B52" s="39" t="str">
        <f>IF(Definitions!H28="","",Definitions!H28)</f>
        <v>PWRNGS001</v>
      </c>
      <c r="C52" s="59">
        <v>0</v>
      </c>
    </row>
    <row r="53" spans="1:3" hidden="1" x14ac:dyDescent="0.2">
      <c r="A53" s="39" t="s">
        <v>53</v>
      </c>
      <c r="B53" s="39" t="str">
        <f>IF(Definitions!H28="","",Definitions!H28)</f>
        <v>PWRNGS001</v>
      </c>
      <c r="C53" s="59">
        <v>0</v>
      </c>
    </row>
    <row r="54" spans="1:3" hidden="1" x14ac:dyDescent="0.2">
      <c r="A54" s="39" t="s">
        <v>85</v>
      </c>
      <c r="B54" s="39" t="str">
        <f>IF(Definitions!H29="","",Definitions!H29)</f>
        <v>PWRNGS002</v>
      </c>
      <c r="C54" s="59">
        <v>0</v>
      </c>
    </row>
    <row r="55" spans="1:3" hidden="1" x14ac:dyDescent="0.2">
      <c r="A55" s="39" t="s">
        <v>75</v>
      </c>
      <c r="B55" s="39" t="str">
        <f>IF(Definitions!H29="","",Definitions!H29)</f>
        <v>PWRNGS002</v>
      </c>
      <c r="C55" s="59">
        <v>0</v>
      </c>
    </row>
    <row r="56" spans="1:3" hidden="1" x14ac:dyDescent="0.2">
      <c r="A56" s="39" t="s">
        <v>86</v>
      </c>
      <c r="B56" s="39" t="str">
        <f>IF(Definitions!H29="","",Definitions!H29)</f>
        <v>PWRNGS002</v>
      </c>
      <c r="C56" s="59">
        <v>0</v>
      </c>
    </row>
    <row r="57" spans="1:3" hidden="1" x14ac:dyDescent="0.2">
      <c r="A57" s="40" t="s">
        <v>23</v>
      </c>
      <c r="B57" s="39" t="str">
        <f>IF(Definitions!H29="","",Definitions!H29)</f>
        <v>PWRNGS002</v>
      </c>
      <c r="C57" s="59">
        <v>0</v>
      </c>
    </row>
    <row r="58" spans="1:3" hidden="1" x14ac:dyDescent="0.2">
      <c r="A58" s="40" t="s">
        <v>19</v>
      </c>
      <c r="B58" s="39" t="str">
        <f>IF(Definitions!H29="","",Definitions!H29)</f>
        <v>PWRNGS002</v>
      </c>
      <c r="C58" s="59">
        <v>0</v>
      </c>
    </row>
    <row r="59" spans="1:3" hidden="1" x14ac:dyDescent="0.2">
      <c r="A59" s="40" t="s">
        <v>21</v>
      </c>
      <c r="B59" s="39" t="str">
        <f>IF(Definitions!H29="","",Definitions!H29)</f>
        <v>PWRNGS002</v>
      </c>
      <c r="C59" s="59">
        <v>0</v>
      </c>
    </row>
    <row r="60" spans="1:3" hidden="1" x14ac:dyDescent="0.2">
      <c r="A60" s="39" t="s">
        <v>59</v>
      </c>
      <c r="B60" s="39" t="str">
        <f>IF(Definitions!H29="","",Definitions!H29)</f>
        <v>PWRNGS002</v>
      </c>
      <c r="C60" s="59">
        <v>0</v>
      </c>
    </row>
    <row r="61" spans="1:3" hidden="1" x14ac:dyDescent="0.2">
      <c r="A61" s="39" t="s">
        <v>55</v>
      </c>
      <c r="B61" s="39" t="str">
        <f>IF(Definitions!H29="","",Definitions!H29)</f>
        <v>PWRNGS002</v>
      </c>
      <c r="C61" s="59">
        <v>0</v>
      </c>
    </row>
    <row r="62" spans="1:3" hidden="1" x14ac:dyDescent="0.2">
      <c r="A62" s="39" t="s">
        <v>53</v>
      </c>
      <c r="B62" s="39" t="str">
        <f>IF(Definitions!H29="","",Definitions!H29)</f>
        <v>PWRNGS002</v>
      </c>
      <c r="C62" s="59">
        <v>0</v>
      </c>
    </row>
    <row r="63" spans="1:3" hidden="1" x14ac:dyDescent="0.2">
      <c r="A63" s="39" t="s">
        <v>85</v>
      </c>
      <c r="B63" s="39" t="str">
        <f>IF(Definitions!H30="","",Definitions!H30)</f>
        <v>PWROHC003</v>
      </c>
      <c r="C63" s="59">
        <v>0</v>
      </c>
    </row>
    <row r="64" spans="1:3" hidden="1" x14ac:dyDescent="0.2">
      <c r="A64" s="39" t="s">
        <v>75</v>
      </c>
      <c r="B64" s="39" t="str">
        <f>IF(Definitions!H30="","",Definitions!H30)</f>
        <v>PWROHC003</v>
      </c>
      <c r="C64" s="59">
        <v>0</v>
      </c>
    </row>
    <row r="65" spans="1:3" hidden="1" x14ac:dyDescent="0.2">
      <c r="A65" s="39" t="s">
        <v>86</v>
      </c>
      <c r="B65" s="39" t="str">
        <f>IF(Definitions!H30="","",Definitions!H30)</f>
        <v>PWROHC003</v>
      </c>
      <c r="C65" s="59">
        <v>0</v>
      </c>
    </row>
    <row r="66" spans="1:3" hidden="1" x14ac:dyDescent="0.2">
      <c r="A66" s="40" t="s">
        <v>23</v>
      </c>
      <c r="B66" s="39" t="str">
        <f>IF(Definitions!H30="","",Definitions!H30)</f>
        <v>PWROHC003</v>
      </c>
      <c r="C66" s="59">
        <v>0</v>
      </c>
    </row>
    <row r="67" spans="1:3" hidden="1" x14ac:dyDescent="0.2">
      <c r="A67" s="40" t="s">
        <v>19</v>
      </c>
      <c r="B67" s="39" t="str">
        <f>IF(Definitions!H30="","",Definitions!H30)</f>
        <v>PWROHC003</v>
      </c>
      <c r="C67" s="59">
        <v>0</v>
      </c>
    </row>
    <row r="68" spans="1:3" hidden="1" x14ac:dyDescent="0.2">
      <c r="A68" s="40" t="s">
        <v>21</v>
      </c>
      <c r="B68" s="39" t="str">
        <f>IF(Definitions!H30="","",Definitions!H30)</f>
        <v>PWROHC003</v>
      </c>
      <c r="C68" s="59">
        <v>0</v>
      </c>
    </row>
    <row r="69" spans="1:3" hidden="1" x14ac:dyDescent="0.2">
      <c r="A69" s="39" t="s">
        <v>59</v>
      </c>
      <c r="B69" s="39" t="str">
        <f>IF(Definitions!H30="","",Definitions!H30)</f>
        <v>PWROHC003</v>
      </c>
      <c r="C69" s="59">
        <v>0</v>
      </c>
    </row>
    <row r="70" spans="1:3" hidden="1" x14ac:dyDescent="0.2">
      <c r="A70" s="39" t="s">
        <v>55</v>
      </c>
      <c r="B70" s="39" t="str">
        <f>IF(Definitions!H30="","",Definitions!H30)</f>
        <v>PWROHC003</v>
      </c>
      <c r="C70" s="59">
        <v>0</v>
      </c>
    </row>
    <row r="71" spans="1:3" hidden="1" x14ac:dyDescent="0.2">
      <c r="A71" s="39" t="s">
        <v>53</v>
      </c>
      <c r="B71" s="39" t="str">
        <f>IF(Definitions!H30="","",Definitions!H30)</f>
        <v>PWROHC003</v>
      </c>
      <c r="C71" s="59">
        <v>0</v>
      </c>
    </row>
    <row r="72" spans="1:3" hidden="1" x14ac:dyDescent="0.2">
      <c r="A72" s="39" t="s">
        <v>85</v>
      </c>
      <c r="B72" s="39" t="str">
        <f>IF(Definitions!H31="","",Definitions!H31)</f>
        <v/>
      </c>
      <c r="C72" s="55"/>
    </row>
    <row r="73" spans="1:3" hidden="1" x14ac:dyDescent="0.2">
      <c r="A73" s="39" t="s">
        <v>75</v>
      </c>
      <c r="B73" s="39" t="str">
        <f>IF(Definitions!H31="","",Definitions!H31)</f>
        <v/>
      </c>
      <c r="C73" s="55"/>
    </row>
    <row r="74" spans="1:3" hidden="1" x14ac:dyDescent="0.2">
      <c r="A74" s="39" t="s">
        <v>86</v>
      </c>
      <c r="B74" s="39" t="str">
        <f>IF(Definitions!H31="","",Definitions!H31)</f>
        <v/>
      </c>
      <c r="C74" s="56"/>
    </row>
    <row r="75" spans="1:3" hidden="1" x14ac:dyDescent="0.2">
      <c r="A75" s="40" t="s">
        <v>23</v>
      </c>
      <c r="B75" s="39" t="str">
        <f>IF(Definitions!H31="","",Definitions!H31)</f>
        <v/>
      </c>
      <c r="C75" s="55"/>
    </row>
    <row r="76" spans="1:3" hidden="1" x14ac:dyDescent="0.2">
      <c r="A76" s="40" t="s">
        <v>19</v>
      </c>
      <c r="B76" s="39" t="str">
        <f>IF(Definitions!H31="","",Definitions!H31)</f>
        <v/>
      </c>
      <c r="C76" s="55"/>
    </row>
    <row r="77" spans="1:3" hidden="1" x14ac:dyDescent="0.2">
      <c r="A77" s="40" t="s">
        <v>21</v>
      </c>
      <c r="B77" s="39" t="str">
        <f>IF(Definitions!H31="","",Definitions!H31)</f>
        <v/>
      </c>
      <c r="C77" s="55"/>
    </row>
    <row r="78" spans="1:3" hidden="1" x14ac:dyDescent="0.2">
      <c r="A78" s="39" t="s">
        <v>59</v>
      </c>
      <c r="B78" s="39" t="str">
        <f>IF(Definitions!H31="","",Definitions!H31)</f>
        <v/>
      </c>
      <c r="C78" s="55"/>
    </row>
    <row r="79" spans="1:3" hidden="1" x14ac:dyDescent="0.2">
      <c r="A79" s="39" t="s">
        <v>55</v>
      </c>
      <c r="B79" s="39" t="str">
        <f>IF(Definitions!H31="","",Definitions!H31)</f>
        <v/>
      </c>
      <c r="C79" s="55"/>
    </row>
    <row r="80" spans="1:3" hidden="1" x14ac:dyDescent="0.2">
      <c r="A80" s="39" t="s">
        <v>53</v>
      </c>
      <c r="B80" s="39" t="str">
        <f>IF(Definitions!H31="","",Definitions!H31)</f>
        <v/>
      </c>
      <c r="C80" s="57"/>
    </row>
    <row r="81" spans="1:3" x14ac:dyDescent="0.2">
      <c r="A81" s="72" t="s">
        <v>77</v>
      </c>
      <c r="B81" t="str">
        <f>IF(Definitions!H25="","",Definitions!H25)</f>
        <v>PWRCOA001</v>
      </c>
      <c r="C81" s="55">
        <v>0.25</v>
      </c>
    </row>
    <row r="82" spans="1:3" hidden="1" x14ac:dyDescent="0.2">
      <c r="A82" s="72" t="s">
        <v>77</v>
      </c>
      <c r="B82" t="str">
        <f>IF(Definitions!H26="","",Definitions!H26)</f>
        <v>PWROHC001</v>
      </c>
      <c r="C82" s="59">
        <v>0</v>
      </c>
    </row>
    <row r="83" spans="1:3" hidden="1" x14ac:dyDescent="0.2">
      <c r="A83" s="72" t="s">
        <v>77</v>
      </c>
      <c r="B83" t="str">
        <f>IF(Definitions!H27="","",Definitions!H27)</f>
        <v>PWROHC002</v>
      </c>
      <c r="C83" s="59">
        <v>0</v>
      </c>
    </row>
    <row r="84" spans="1:3" hidden="1" x14ac:dyDescent="0.2">
      <c r="A84" s="72" t="s">
        <v>77</v>
      </c>
      <c r="B84" t="str">
        <f>IF(Definitions!H28="","",Definitions!H28)</f>
        <v>PWRNGS001</v>
      </c>
      <c r="C84" s="59">
        <v>0</v>
      </c>
    </row>
    <row r="85" spans="1:3" hidden="1" x14ac:dyDescent="0.2">
      <c r="A85" s="72" t="s">
        <v>77</v>
      </c>
      <c r="B85" t="str">
        <f>IF(Definitions!H29="","",Definitions!H29)</f>
        <v>PWRNGS002</v>
      </c>
      <c r="C85" s="59">
        <v>0</v>
      </c>
    </row>
    <row r="86" spans="1:3" hidden="1" x14ac:dyDescent="0.2">
      <c r="A86" s="72" t="s">
        <v>77</v>
      </c>
      <c r="B86" t="str">
        <f>IF(Definitions!H30="","",Definitions!H30)</f>
        <v>PWROHC003</v>
      </c>
      <c r="C86" s="59">
        <v>0</v>
      </c>
    </row>
  </sheetData>
  <autoFilter ref="A3:C86" xr:uid="{00000000-0001-0000-0300-000000000000}">
    <filterColumn colId="1">
      <filters>
        <filter val="PWRCOA001"/>
      </filters>
    </filterColumn>
  </autoFilter>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00"/>
  <sheetViews>
    <sheetView showGridLines="0" tabSelected="1" zoomScaleNormal="169" workbookViewId="0">
      <selection activeCell="D15" sqref="D4:D15"/>
    </sheetView>
  </sheetViews>
  <sheetFormatPr baseColWidth="10" defaultColWidth="8.83203125" defaultRowHeight="15" x14ac:dyDescent="0.2"/>
  <cols>
    <col min="1" max="1" width="15.5" bestFit="1" customWidth="1"/>
    <col min="2" max="2" width="23.1640625" bestFit="1" customWidth="1"/>
    <col min="3" max="3" width="19.83203125" bestFit="1" customWidth="1"/>
    <col min="4" max="4" width="21.6640625" bestFit="1" customWidth="1"/>
    <col min="5" max="5" width="25" bestFit="1" customWidth="1"/>
    <col min="6" max="6" width="16" bestFit="1" customWidth="1"/>
    <col min="7" max="8" width="12.6640625" bestFit="1" customWidth="1"/>
    <col min="9" max="9" width="14.33203125" bestFit="1" customWidth="1"/>
    <col min="11" max="11" width="14.1640625" bestFit="1" customWidth="1"/>
  </cols>
  <sheetData>
    <row r="1" spans="1:48" ht="47" x14ac:dyDescent="0.55000000000000004">
      <c r="A1" s="41" t="s">
        <v>0</v>
      </c>
      <c r="B1" s="42"/>
      <c r="C1" s="42"/>
      <c r="D1" s="42"/>
      <c r="E1" s="42"/>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row>
    <row r="2" spans="1:48" ht="26" x14ac:dyDescent="0.3">
      <c r="A2" s="43" t="s">
        <v>87</v>
      </c>
      <c r="B2" s="42"/>
      <c r="C2" s="42"/>
      <c r="D2" s="42"/>
      <c r="E2" s="42"/>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row>
    <row r="3" spans="1:48" x14ac:dyDescent="0.2">
      <c r="A3" s="44" t="s">
        <v>66</v>
      </c>
      <c r="B3" s="45" t="s">
        <v>88</v>
      </c>
      <c r="C3" s="45" t="s">
        <v>89</v>
      </c>
      <c r="D3" s="46" t="s">
        <v>72</v>
      </c>
      <c r="E3" s="46" t="s">
        <v>52</v>
      </c>
      <c r="F3" s="44" t="s">
        <v>16</v>
      </c>
      <c r="G3" s="44" t="s">
        <v>58</v>
      </c>
      <c r="H3" s="44" t="s">
        <v>69</v>
      </c>
      <c r="I3" s="44" t="s">
        <v>73</v>
      </c>
      <c r="J3" t="s">
        <v>123</v>
      </c>
    </row>
    <row r="4" spans="1:48" x14ac:dyDescent="0.2">
      <c r="A4" s="56" t="s">
        <v>110</v>
      </c>
      <c r="B4">
        <v>5.9</v>
      </c>
      <c r="C4">
        <v>58.33</v>
      </c>
      <c r="D4" s="47">
        <v>100</v>
      </c>
      <c r="E4" s="47">
        <v>2</v>
      </c>
      <c r="F4">
        <v>33</v>
      </c>
      <c r="G4">
        <v>1986</v>
      </c>
      <c r="H4" t="s">
        <v>33</v>
      </c>
      <c r="I4" t="s">
        <v>90</v>
      </c>
      <c r="J4">
        <v>0</v>
      </c>
    </row>
    <row r="5" spans="1:48" x14ac:dyDescent="0.2">
      <c r="A5" s="56" t="s">
        <v>111</v>
      </c>
      <c r="B5">
        <v>5.9</v>
      </c>
      <c r="C5">
        <v>58.33</v>
      </c>
      <c r="D5" s="47">
        <v>100</v>
      </c>
      <c r="E5" s="47">
        <v>2</v>
      </c>
      <c r="F5">
        <v>33</v>
      </c>
      <c r="G5">
        <v>1986</v>
      </c>
      <c r="H5" t="s">
        <v>33</v>
      </c>
      <c r="I5" t="s">
        <v>90</v>
      </c>
      <c r="J5">
        <v>0</v>
      </c>
    </row>
    <row r="6" spans="1:48" x14ac:dyDescent="0.2">
      <c r="A6" s="56" t="s">
        <v>112</v>
      </c>
      <c r="B6">
        <v>5.9</v>
      </c>
      <c r="C6">
        <v>58.33</v>
      </c>
      <c r="D6" s="47">
        <v>100</v>
      </c>
      <c r="E6" s="47">
        <v>2</v>
      </c>
      <c r="F6">
        <v>33</v>
      </c>
      <c r="G6">
        <v>1987</v>
      </c>
      <c r="H6" t="s">
        <v>33</v>
      </c>
      <c r="I6" t="s">
        <v>90</v>
      </c>
      <c r="J6">
        <v>0</v>
      </c>
    </row>
    <row r="7" spans="1:48" x14ac:dyDescent="0.2">
      <c r="A7" s="56" t="s">
        <v>113</v>
      </c>
      <c r="B7">
        <v>5.9</v>
      </c>
      <c r="C7">
        <v>58.33</v>
      </c>
      <c r="D7" s="47">
        <v>100</v>
      </c>
      <c r="E7" s="47">
        <v>2</v>
      </c>
      <c r="F7">
        <v>33</v>
      </c>
      <c r="G7">
        <v>1989</v>
      </c>
      <c r="H7" t="s">
        <v>33</v>
      </c>
      <c r="I7" t="s">
        <v>90</v>
      </c>
      <c r="J7">
        <v>0</v>
      </c>
    </row>
    <row r="8" spans="1:48" x14ac:dyDescent="0.2">
      <c r="A8" s="56" t="s">
        <v>114</v>
      </c>
      <c r="B8">
        <v>5.9</v>
      </c>
      <c r="C8">
        <v>58.33</v>
      </c>
      <c r="D8" s="47">
        <v>100</v>
      </c>
      <c r="E8" s="47">
        <v>2</v>
      </c>
      <c r="F8">
        <v>150</v>
      </c>
      <c r="G8">
        <v>2013</v>
      </c>
      <c r="H8" t="s">
        <v>33</v>
      </c>
      <c r="I8" t="s">
        <v>90</v>
      </c>
      <c r="J8">
        <v>0</v>
      </c>
    </row>
    <row r="9" spans="1:48" x14ac:dyDescent="0.2">
      <c r="A9" s="56" t="s">
        <v>115</v>
      </c>
      <c r="B9">
        <v>5.9</v>
      </c>
      <c r="C9">
        <v>58.33</v>
      </c>
      <c r="D9" s="47">
        <v>100</v>
      </c>
      <c r="E9" s="47">
        <v>2</v>
      </c>
      <c r="F9">
        <v>150</v>
      </c>
      <c r="G9">
        <v>2013</v>
      </c>
      <c r="H9" t="s">
        <v>33</v>
      </c>
      <c r="I9" t="s">
        <v>90</v>
      </c>
      <c r="J9">
        <v>0</v>
      </c>
    </row>
    <row r="10" spans="1:48" x14ac:dyDescent="0.2">
      <c r="A10" s="56" t="s">
        <v>116</v>
      </c>
      <c r="B10">
        <v>5.9</v>
      </c>
      <c r="C10">
        <v>58.33</v>
      </c>
      <c r="D10" s="47">
        <v>100</v>
      </c>
      <c r="E10" s="47">
        <v>2</v>
      </c>
      <c r="F10">
        <v>150</v>
      </c>
      <c r="G10">
        <v>2014</v>
      </c>
      <c r="H10" t="s">
        <v>33</v>
      </c>
      <c r="I10" t="s">
        <v>90</v>
      </c>
      <c r="J10">
        <v>0</v>
      </c>
    </row>
    <row r="11" spans="1:48" x14ac:dyDescent="0.2">
      <c r="A11" s="56" t="s">
        <v>117</v>
      </c>
      <c r="B11">
        <v>5.9</v>
      </c>
      <c r="C11">
        <v>58.33</v>
      </c>
      <c r="D11" s="47">
        <v>100</v>
      </c>
      <c r="E11" s="47">
        <v>2</v>
      </c>
      <c r="F11">
        <v>150</v>
      </c>
      <c r="G11">
        <v>2014</v>
      </c>
      <c r="H11" t="s">
        <v>33</v>
      </c>
      <c r="I11" t="s">
        <v>90</v>
      </c>
      <c r="J11">
        <v>0</v>
      </c>
    </row>
    <row r="12" spans="1:48" x14ac:dyDescent="0.2">
      <c r="A12" s="56" t="s">
        <v>118</v>
      </c>
      <c r="B12">
        <v>5.9</v>
      </c>
      <c r="C12">
        <v>58.33</v>
      </c>
      <c r="D12" s="47">
        <v>100</v>
      </c>
      <c r="E12" s="47">
        <v>2</v>
      </c>
      <c r="F12">
        <v>150</v>
      </c>
      <c r="G12">
        <v>2026</v>
      </c>
      <c r="H12" t="s">
        <v>33</v>
      </c>
      <c r="I12" t="s">
        <v>90</v>
      </c>
      <c r="J12">
        <v>0</v>
      </c>
    </row>
    <row r="13" spans="1:48" x14ac:dyDescent="0.2">
      <c r="A13" s="56" t="s">
        <v>119</v>
      </c>
      <c r="B13">
        <v>5.9</v>
      </c>
      <c r="C13">
        <v>58.33</v>
      </c>
      <c r="D13" s="47">
        <v>100</v>
      </c>
      <c r="E13" s="47">
        <v>2</v>
      </c>
      <c r="F13">
        <v>150</v>
      </c>
      <c r="G13">
        <v>2027</v>
      </c>
      <c r="H13" t="s">
        <v>33</v>
      </c>
      <c r="I13" t="s">
        <v>90</v>
      </c>
      <c r="J13">
        <v>0</v>
      </c>
    </row>
    <row r="14" spans="1:48" x14ac:dyDescent="0.2">
      <c r="A14" s="56" t="s">
        <v>120</v>
      </c>
      <c r="B14">
        <v>5.9</v>
      </c>
      <c r="C14">
        <v>58.33</v>
      </c>
      <c r="D14" s="47">
        <v>100</v>
      </c>
      <c r="E14" s="47">
        <v>2</v>
      </c>
      <c r="F14">
        <v>150</v>
      </c>
      <c r="G14">
        <v>2027</v>
      </c>
      <c r="H14" t="s">
        <v>33</v>
      </c>
      <c r="I14" t="s">
        <v>90</v>
      </c>
      <c r="J14">
        <v>0</v>
      </c>
    </row>
    <row r="15" spans="1:48" x14ac:dyDescent="0.2">
      <c r="A15" s="56" t="s">
        <v>121</v>
      </c>
      <c r="B15">
        <v>5.9</v>
      </c>
      <c r="C15">
        <v>58.33</v>
      </c>
      <c r="D15" s="47">
        <v>100</v>
      </c>
      <c r="E15" s="47">
        <v>2</v>
      </c>
      <c r="F15">
        <v>150</v>
      </c>
      <c r="G15">
        <v>2027</v>
      </c>
      <c r="H15" t="s">
        <v>33</v>
      </c>
      <c r="I15" t="s">
        <v>90</v>
      </c>
      <c r="J15">
        <v>0</v>
      </c>
    </row>
    <row r="16" spans="1:48" x14ac:dyDescent="0.2">
      <c r="J16" s="3"/>
    </row>
    <row r="74" spans="1:10" x14ac:dyDescent="0.2">
      <c r="J74" s="3"/>
    </row>
    <row r="80" spans="1:10" x14ac:dyDescent="0.2">
      <c r="A80" s="56"/>
      <c r="B80" s="56"/>
      <c r="C80" s="56"/>
      <c r="D80" s="47"/>
      <c r="E80" s="47"/>
      <c r="F80" s="56"/>
      <c r="G80" s="56"/>
    </row>
    <row r="81" spans="1:7" x14ac:dyDescent="0.2">
      <c r="A81" s="56"/>
      <c r="B81" s="56"/>
      <c r="C81" s="56"/>
      <c r="D81" s="47"/>
      <c r="E81" s="47"/>
      <c r="F81" s="56"/>
      <c r="G81" s="56"/>
    </row>
    <row r="82" spans="1:7" x14ac:dyDescent="0.2">
      <c r="A82" s="56"/>
      <c r="B82" s="56"/>
      <c r="C82" s="56"/>
      <c r="D82" s="47"/>
      <c r="E82" s="47"/>
      <c r="F82" s="56"/>
      <c r="G82" s="56"/>
    </row>
    <row r="83" spans="1:7" x14ac:dyDescent="0.2">
      <c r="A83" s="56"/>
      <c r="B83" s="56"/>
      <c r="C83" s="56"/>
      <c r="D83" s="47"/>
      <c r="E83" s="47"/>
      <c r="F83" s="56"/>
      <c r="G83" s="56"/>
    </row>
    <row r="84" spans="1:7" x14ac:dyDescent="0.2">
      <c r="A84" s="56"/>
      <c r="B84" s="56"/>
      <c r="C84" s="56"/>
      <c r="D84" s="47"/>
      <c r="E84" s="47"/>
      <c r="F84" s="56"/>
      <c r="G84" s="56"/>
    </row>
    <row r="85" spans="1:7" x14ac:dyDescent="0.2">
      <c r="A85" s="56"/>
      <c r="B85" s="56"/>
      <c r="C85" s="56"/>
      <c r="D85" s="47"/>
      <c r="E85" s="47"/>
      <c r="F85" s="56"/>
      <c r="G85" s="56"/>
    </row>
    <row r="86" spans="1:7" x14ac:dyDescent="0.2">
      <c r="A86" s="56"/>
      <c r="B86" s="56"/>
      <c r="C86" s="56"/>
      <c r="D86" s="47"/>
      <c r="E86" s="47"/>
      <c r="F86" s="56"/>
      <c r="G86" s="56"/>
    </row>
    <row r="87" spans="1:7" x14ac:dyDescent="0.2">
      <c r="A87" s="56"/>
      <c r="B87" s="56"/>
      <c r="C87" s="56"/>
      <c r="D87" s="47"/>
      <c r="E87" s="47"/>
      <c r="F87" s="56"/>
      <c r="G87" s="56"/>
    </row>
    <row r="88" spans="1:7" x14ac:dyDescent="0.2">
      <c r="A88" s="56"/>
      <c r="B88" s="56"/>
      <c r="C88" s="56"/>
      <c r="D88" s="47"/>
      <c r="E88" s="47"/>
      <c r="F88" s="56"/>
      <c r="G88" s="56"/>
    </row>
    <row r="89" spans="1:7" x14ac:dyDescent="0.2">
      <c r="A89" s="56"/>
      <c r="B89" s="56"/>
      <c r="C89" s="56"/>
      <c r="D89" s="47"/>
      <c r="E89" s="47"/>
      <c r="F89" s="56"/>
      <c r="G89" s="56"/>
    </row>
    <row r="90" spans="1:7" x14ac:dyDescent="0.2">
      <c r="A90" s="56"/>
      <c r="B90" s="56"/>
      <c r="C90" s="56"/>
      <c r="D90" s="47"/>
      <c r="E90" s="47"/>
      <c r="F90" s="56"/>
      <c r="G90" s="56"/>
    </row>
    <row r="91" spans="1:7" x14ac:dyDescent="0.2">
      <c r="A91" s="56"/>
      <c r="B91" s="56"/>
      <c r="C91" s="56"/>
      <c r="D91" s="47"/>
      <c r="E91" s="47"/>
      <c r="F91" s="56"/>
      <c r="G91" s="56"/>
    </row>
    <row r="92" spans="1:7" x14ac:dyDescent="0.2">
      <c r="A92" s="56"/>
      <c r="B92" s="56"/>
      <c r="C92" s="56"/>
      <c r="D92" s="47"/>
      <c r="E92" s="47"/>
      <c r="F92" s="56"/>
      <c r="G92" s="56"/>
    </row>
    <row r="93" spans="1:7" x14ac:dyDescent="0.2">
      <c r="A93" s="56"/>
      <c r="B93" s="56"/>
      <c r="C93" s="56"/>
      <c r="D93" s="47"/>
      <c r="E93" s="47"/>
      <c r="F93" s="56"/>
      <c r="G93" s="56"/>
    </row>
    <row r="94" spans="1:7" x14ac:dyDescent="0.2">
      <c r="A94" s="56"/>
      <c r="B94" s="56"/>
      <c r="C94" s="56"/>
      <c r="D94" s="47"/>
      <c r="E94" s="47"/>
      <c r="F94" s="56"/>
      <c r="G94" s="56"/>
    </row>
    <row r="95" spans="1:7" x14ac:dyDescent="0.2">
      <c r="A95" s="56"/>
      <c r="B95" s="56"/>
      <c r="C95" s="56"/>
      <c r="D95" s="47"/>
      <c r="E95" s="47"/>
      <c r="F95" s="56"/>
      <c r="G95" s="56"/>
    </row>
    <row r="96" spans="1:7" x14ac:dyDescent="0.2">
      <c r="A96" s="56"/>
      <c r="B96" s="56"/>
      <c r="C96" s="56"/>
      <c r="D96" s="47"/>
      <c r="E96" s="47"/>
      <c r="F96" s="56"/>
      <c r="G96" s="56"/>
    </row>
    <row r="97" spans="1:7" x14ac:dyDescent="0.2">
      <c r="A97" s="56"/>
      <c r="B97" s="56"/>
      <c r="C97" s="56"/>
      <c r="D97" s="47"/>
      <c r="E97" s="47"/>
      <c r="F97" s="56"/>
      <c r="G97" s="56"/>
    </row>
    <row r="98" spans="1:7" x14ac:dyDescent="0.2">
      <c r="A98" s="56"/>
      <c r="B98" s="56"/>
      <c r="C98" s="56"/>
      <c r="D98" s="47"/>
      <c r="E98" s="47"/>
      <c r="F98" s="56"/>
      <c r="G98" s="56"/>
    </row>
    <row r="99" spans="1:7" x14ac:dyDescent="0.2">
      <c r="A99" s="56"/>
      <c r="B99" s="56"/>
      <c r="C99" s="56"/>
      <c r="D99" s="47"/>
      <c r="E99" s="47"/>
      <c r="F99" s="56"/>
      <c r="G99" s="56"/>
    </row>
    <row r="100" spans="1:7" x14ac:dyDescent="0.2">
      <c r="A100" s="56"/>
      <c r="B100" s="56"/>
      <c r="C100" s="56"/>
      <c r="D100" s="47"/>
      <c r="E100" s="47"/>
      <c r="F100" s="56"/>
      <c r="G100" s="56"/>
    </row>
    <row r="101" spans="1:7" x14ac:dyDescent="0.2">
      <c r="A101" s="56"/>
      <c r="B101" s="56"/>
      <c r="C101" s="56"/>
      <c r="D101" s="47"/>
      <c r="E101" s="47"/>
      <c r="F101" s="56"/>
      <c r="G101" s="56"/>
    </row>
    <row r="102" spans="1:7" x14ac:dyDescent="0.2">
      <c r="A102" s="56"/>
      <c r="B102" s="56"/>
      <c r="C102" s="56"/>
      <c r="D102" s="47"/>
      <c r="E102" s="47"/>
      <c r="F102" s="56"/>
      <c r="G102" s="56"/>
    </row>
    <row r="103" spans="1:7" x14ac:dyDescent="0.2">
      <c r="A103" s="56"/>
      <c r="B103" s="56"/>
      <c r="C103" s="56"/>
      <c r="D103" s="47"/>
      <c r="E103" s="47"/>
      <c r="F103" s="56"/>
      <c r="G103" s="56"/>
    </row>
    <row r="104" spans="1:7" x14ac:dyDescent="0.2">
      <c r="A104" s="56"/>
      <c r="B104" s="56"/>
      <c r="C104" s="56"/>
      <c r="D104" s="47"/>
      <c r="E104" s="47"/>
      <c r="F104" s="56"/>
      <c r="G104" s="56"/>
    </row>
    <row r="105" spans="1:7" x14ac:dyDescent="0.2">
      <c r="A105" s="56"/>
      <c r="B105" s="56"/>
      <c r="C105" s="56"/>
      <c r="D105" s="47"/>
      <c r="E105" s="47"/>
      <c r="F105" s="56"/>
      <c r="G105" s="56"/>
    </row>
    <row r="106" spans="1:7" x14ac:dyDescent="0.2">
      <c r="A106" s="56"/>
      <c r="B106" s="56"/>
      <c r="C106" s="56"/>
      <c r="D106" s="47"/>
      <c r="E106" s="47"/>
      <c r="F106" s="56"/>
      <c r="G106" s="56"/>
    </row>
    <row r="107" spans="1:7" x14ac:dyDescent="0.2">
      <c r="A107" s="56"/>
      <c r="B107" s="56"/>
      <c r="C107" s="56"/>
      <c r="D107" s="47"/>
      <c r="E107" s="47"/>
      <c r="F107" s="56"/>
      <c r="G107" s="56"/>
    </row>
    <row r="108" spans="1:7" x14ac:dyDescent="0.2">
      <c r="A108" s="56"/>
      <c r="B108" s="56"/>
      <c r="C108" s="56"/>
      <c r="D108" s="47"/>
      <c r="E108" s="47"/>
      <c r="F108" s="56"/>
      <c r="G108" s="56"/>
    </row>
    <row r="109" spans="1:7" x14ac:dyDescent="0.2">
      <c r="A109" s="56"/>
      <c r="B109" s="56"/>
      <c r="C109" s="56"/>
      <c r="D109" s="47"/>
      <c r="E109" s="47"/>
      <c r="F109" s="56"/>
      <c r="G109" s="56"/>
    </row>
    <row r="110" spans="1:7" x14ac:dyDescent="0.2">
      <c r="A110" s="56"/>
      <c r="B110" s="56"/>
      <c r="C110" s="56"/>
      <c r="D110" s="47"/>
      <c r="E110" s="47"/>
      <c r="F110" s="56"/>
      <c r="G110" s="56"/>
    </row>
    <row r="111" spans="1:7" x14ac:dyDescent="0.2">
      <c r="A111" s="56"/>
      <c r="B111" s="56"/>
      <c r="C111" s="56"/>
      <c r="D111" s="47"/>
      <c r="E111" s="47"/>
      <c r="F111" s="56"/>
      <c r="G111" s="56"/>
    </row>
    <row r="112" spans="1:7" x14ac:dyDescent="0.2">
      <c r="A112" s="56"/>
      <c r="B112" s="56"/>
      <c r="C112" s="56"/>
      <c r="D112" s="47"/>
      <c r="E112" s="47"/>
      <c r="F112" s="56"/>
      <c r="G112" s="56"/>
    </row>
    <row r="113" spans="1:7" x14ac:dyDescent="0.2">
      <c r="A113" s="56"/>
      <c r="B113" s="56"/>
      <c r="C113" s="56"/>
      <c r="D113" s="47"/>
      <c r="E113" s="47"/>
      <c r="F113" s="56"/>
      <c r="G113" s="56"/>
    </row>
    <row r="114" spans="1:7" x14ac:dyDescent="0.2">
      <c r="A114" s="56"/>
      <c r="B114" s="56"/>
      <c r="C114" s="56"/>
      <c r="D114" s="47"/>
      <c r="E114" s="47"/>
      <c r="F114" s="56"/>
      <c r="G114" s="56"/>
    </row>
    <row r="115" spans="1:7" x14ac:dyDescent="0.2">
      <c r="A115" s="56"/>
      <c r="B115" s="56"/>
      <c r="C115" s="56"/>
      <c r="D115" s="47"/>
      <c r="E115" s="47"/>
      <c r="F115" s="56"/>
      <c r="G115" s="56"/>
    </row>
    <row r="116" spans="1:7" x14ac:dyDescent="0.2">
      <c r="A116" s="56"/>
      <c r="B116" s="56"/>
      <c r="C116" s="56"/>
      <c r="D116" s="47"/>
      <c r="E116" s="47"/>
      <c r="F116" s="56"/>
      <c r="G116" s="56"/>
    </row>
    <row r="117" spans="1:7" x14ac:dyDescent="0.2">
      <c r="A117" s="56"/>
      <c r="B117" s="56"/>
      <c r="C117" s="56"/>
      <c r="D117" s="47"/>
      <c r="E117" s="47"/>
      <c r="F117" s="56"/>
      <c r="G117" s="56"/>
    </row>
    <row r="118" spans="1:7" x14ac:dyDescent="0.2">
      <c r="A118" s="56"/>
      <c r="B118" s="56"/>
      <c r="C118" s="56"/>
      <c r="D118" s="47"/>
      <c r="E118" s="47"/>
      <c r="F118" s="56"/>
      <c r="G118" s="56"/>
    </row>
    <row r="119" spans="1:7" x14ac:dyDescent="0.2">
      <c r="A119" s="56"/>
      <c r="B119" s="56"/>
      <c r="C119" s="56"/>
      <c r="D119" s="47"/>
      <c r="E119" s="47"/>
      <c r="F119" s="56"/>
      <c r="G119" s="56"/>
    </row>
    <row r="120" spans="1:7" x14ac:dyDescent="0.2">
      <c r="A120" s="56"/>
      <c r="B120" s="56"/>
      <c r="C120" s="56"/>
      <c r="D120" s="47"/>
      <c r="E120" s="47"/>
      <c r="F120" s="56"/>
      <c r="G120" s="56"/>
    </row>
    <row r="121" spans="1:7" x14ac:dyDescent="0.2">
      <c r="A121" s="56"/>
      <c r="B121" s="56"/>
      <c r="C121" s="56"/>
      <c r="D121" s="47"/>
      <c r="E121" s="47"/>
      <c r="F121" s="56"/>
      <c r="G121" s="56"/>
    </row>
    <row r="122" spans="1:7" x14ac:dyDescent="0.2">
      <c r="A122" s="56"/>
      <c r="B122" s="56"/>
      <c r="C122" s="56"/>
      <c r="D122" s="47"/>
      <c r="E122" s="47"/>
      <c r="F122" s="56"/>
      <c r="G122" s="56"/>
    </row>
    <row r="123" spans="1:7" x14ac:dyDescent="0.2">
      <c r="A123" s="56"/>
      <c r="B123" s="56"/>
      <c r="C123" s="56"/>
      <c r="D123" s="47"/>
      <c r="E123" s="47"/>
      <c r="F123" s="56"/>
      <c r="G123" s="56"/>
    </row>
    <row r="124" spans="1:7" x14ac:dyDescent="0.2">
      <c r="A124" s="56"/>
      <c r="B124" s="56"/>
      <c r="C124" s="56"/>
      <c r="D124" s="47"/>
      <c r="E124" s="47"/>
      <c r="F124" s="56"/>
      <c r="G124" s="56"/>
    </row>
    <row r="125" spans="1:7" x14ac:dyDescent="0.2">
      <c r="A125" s="56"/>
      <c r="B125" s="56"/>
      <c r="C125" s="56"/>
      <c r="D125" s="47"/>
      <c r="E125" s="47"/>
      <c r="F125" s="56"/>
      <c r="G125" s="56"/>
    </row>
    <row r="126" spans="1:7" x14ac:dyDescent="0.2">
      <c r="A126" s="56"/>
      <c r="B126" s="56"/>
      <c r="C126" s="56"/>
      <c r="D126" s="47"/>
      <c r="E126" s="47"/>
      <c r="F126" s="56"/>
      <c r="G126" s="56"/>
    </row>
    <row r="127" spans="1:7" x14ac:dyDescent="0.2">
      <c r="A127" s="56"/>
      <c r="B127" s="56"/>
      <c r="C127" s="56"/>
      <c r="D127" s="47"/>
      <c r="E127" s="47"/>
      <c r="F127" s="56"/>
      <c r="G127" s="56"/>
    </row>
    <row r="128" spans="1:7" x14ac:dyDescent="0.2">
      <c r="A128" s="56"/>
      <c r="B128" s="56"/>
      <c r="C128" s="56"/>
      <c r="D128" s="47"/>
      <c r="E128" s="47"/>
      <c r="F128" s="56"/>
      <c r="G128" s="56"/>
    </row>
    <row r="129" spans="1:7" x14ac:dyDescent="0.2">
      <c r="A129" s="56"/>
      <c r="B129" s="56"/>
      <c r="C129" s="56"/>
      <c r="D129" s="47"/>
      <c r="E129" s="47"/>
      <c r="F129" s="56"/>
      <c r="G129" s="56"/>
    </row>
    <row r="130" spans="1:7" x14ac:dyDescent="0.2">
      <c r="A130" s="56"/>
      <c r="B130" s="56"/>
      <c r="C130" s="56"/>
      <c r="D130" s="47"/>
      <c r="E130" s="47"/>
      <c r="F130" s="56"/>
      <c r="G130" s="56"/>
    </row>
    <row r="131" spans="1:7" x14ac:dyDescent="0.2">
      <c r="A131" s="56"/>
      <c r="B131" s="56"/>
      <c r="C131" s="56"/>
      <c r="D131" s="47"/>
      <c r="E131" s="47"/>
      <c r="F131" s="56"/>
      <c r="G131" s="56"/>
    </row>
    <row r="132" spans="1:7" x14ac:dyDescent="0.2">
      <c r="A132" s="56"/>
      <c r="B132" s="56"/>
      <c r="C132" s="56"/>
      <c r="D132" s="47"/>
      <c r="E132" s="47"/>
      <c r="F132" s="56"/>
      <c r="G132" s="56"/>
    </row>
    <row r="133" spans="1:7" x14ac:dyDescent="0.2">
      <c r="A133" s="56"/>
      <c r="B133" s="56"/>
      <c r="C133" s="56"/>
      <c r="D133" s="47"/>
      <c r="E133" s="47"/>
      <c r="F133" s="56"/>
      <c r="G133" s="56"/>
    </row>
    <row r="134" spans="1:7" x14ac:dyDescent="0.2">
      <c r="A134" s="56"/>
      <c r="B134" s="56"/>
      <c r="C134" s="56"/>
      <c r="D134" s="47"/>
      <c r="E134" s="47"/>
      <c r="F134" s="56"/>
      <c r="G134" s="56"/>
    </row>
    <row r="135" spans="1:7" x14ac:dyDescent="0.2">
      <c r="A135" s="56"/>
      <c r="B135" s="56"/>
      <c r="C135" s="56"/>
      <c r="D135" s="47"/>
      <c r="E135" s="47"/>
      <c r="F135" s="56"/>
      <c r="G135" s="56"/>
    </row>
    <row r="136" spans="1:7" x14ac:dyDescent="0.2">
      <c r="A136" s="56"/>
      <c r="B136" s="56"/>
      <c r="C136" s="56"/>
      <c r="D136" s="47"/>
      <c r="E136" s="47"/>
      <c r="F136" s="56"/>
      <c r="G136" s="56"/>
    </row>
    <row r="137" spans="1:7" x14ac:dyDescent="0.2">
      <c r="A137" s="56"/>
      <c r="B137" s="56"/>
      <c r="C137" s="56"/>
      <c r="D137" s="47"/>
      <c r="E137" s="47"/>
      <c r="F137" s="56"/>
      <c r="G137" s="56"/>
    </row>
    <row r="138" spans="1:7" x14ac:dyDescent="0.2">
      <c r="A138" s="56"/>
      <c r="B138" s="56"/>
      <c r="C138" s="56"/>
      <c r="D138" s="47"/>
      <c r="E138" s="47"/>
      <c r="F138" s="56"/>
      <c r="G138" s="56"/>
    </row>
    <row r="139" spans="1:7" x14ac:dyDescent="0.2">
      <c r="A139" s="56"/>
      <c r="B139" s="56"/>
      <c r="C139" s="56"/>
      <c r="D139" s="47"/>
      <c r="E139" s="47"/>
      <c r="F139" s="56"/>
      <c r="G139" s="56"/>
    </row>
    <row r="140" spans="1:7" x14ac:dyDescent="0.2">
      <c r="A140" s="56"/>
      <c r="B140" s="56"/>
      <c r="C140" s="56"/>
      <c r="D140" s="47"/>
      <c r="E140" s="47"/>
      <c r="F140" s="56"/>
      <c r="G140" s="56"/>
    </row>
    <row r="141" spans="1:7" x14ac:dyDescent="0.2">
      <c r="A141" s="56"/>
      <c r="B141" s="56"/>
      <c r="C141" s="56"/>
      <c r="D141" s="47"/>
      <c r="E141" s="47"/>
      <c r="F141" s="56"/>
      <c r="G141" s="56"/>
    </row>
    <row r="142" spans="1:7" x14ac:dyDescent="0.2">
      <c r="A142" s="56"/>
      <c r="B142" s="56"/>
      <c r="C142" s="56"/>
      <c r="D142" s="47"/>
      <c r="E142" s="47"/>
      <c r="F142" s="56"/>
      <c r="G142" s="56"/>
    </row>
    <row r="143" spans="1:7" x14ac:dyDescent="0.2">
      <c r="A143" s="56"/>
      <c r="B143" s="56"/>
      <c r="C143" s="56"/>
      <c r="D143" s="47"/>
      <c r="E143" s="47"/>
      <c r="F143" s="56"/>
      <c r="G143" s="56"/>
    </row>
    <row r="144" spans="1:7" x14ac:dyDescent="0.2">
      <c r="A144" s="56"/>
      <c r="B144" s="56"/>
      <c r="C144" s="56"/>
      <c r="D144" s="47"/>
      <c r="E144" s="47"/>
      <c r="F144" s="56"/>
      <c r="G144" s="56"/>
    </row>
    <row r="145" spans="1:7" x14ac:dyDescent="0.2">
      <c r="A145" s="56"/>
      <c r="B145" s="56"/>
      <c r="C145" s="56"/>
      <c r="D145" s="47"/>
      <c r="E145" s="47"/>
      <c r="F145" s="56"/>
      <c r="G145" s="56"/>
    </row>
    <row r="146" spans="1:7" x14ac:dyDescent="0.2">
      <c r="A146" s="56"/>
      <c r="B146" s="56"/>
      <c r="C146" s="56"/>
      <c r="D146" s="47"/>
      <c r="E146" s="47"/>
      <c r="F146" s="56"/>
      <c r="G146" s="56"/>
    </row>
    <row r="147" spans="1:7" x14ac:dyDescent="0.2">
      <c r="A147" s="56"/>
      <c r="B147" s="56"/>
      <c r="C147" s="56"/>
      <c r="D147" s="47"/>
      <c r="E147" s="47"/>
      <c r="F147" s="56"/>
      <c r="G147" s="56"/>
    </row>
    <row r="148" spans="1:7" x14ac:dyDescent="0.2">
      <c r="A148" s="56"/>
      <c r="B148" s="56"/>
      <c r="C148" s="56"/>
      <c r="D148" s="47"/>
      <c r="E148" s="47"/>
      <c r="F148" s="56"/>
      <c r="G148" s="56"/>
    </row>
    <row r="149" spans="1:7" x14ac:dyDescent="0.2">
      <c r="A149" s="56"/>
      <c r="B149" s="56"/>
      <c r="C149" s="56"/>
      <c r="D149" s="47"/>
      <c r="E149" s="47"/>
      <c r="F149" s="56"/>
      <c r="G149" s="56"/>
    </row>
    <row r="150" spans="1:7" x14ac:dyDescent="0.2">
      <c r="A150" s="56"/>
      <c r="B150" s="56"/>
      <c r="C150" s="56"/>
      <c r="D150" s="47"/>
      <c r="E150" s="47"/>
      <c r="F150" s="56"/>
      <c r="G150" s="56"/>
    </row>
    <row r="151" spans="1:7" x14ac:dyDescent="0.2">
      <c r="A151" s="56"/>
      <c r="B151" s="56"/>
      <c r="C151" s="56"/>
      <c r="D151" s="47"/>
      <c r="E151" s="47"/>
      <c r="F151" s="56"/>
      <c r="G151" s="56"/>
    </row>
    <row r="152" spans="1:7" x14ac:dyDescent="0.2">
      <c r="A152" s="56"/>
      <c r="B152" s="56"/>
      <c r="C152" s="56"/>
      <c r="D152" s="47"/>
      <c r="E152" s="47"/>
      <c r="F152" s="56"/>
      <c r="G152" s="56"/>
    </row>
    <row r="153" spans="1:7" x14ac:dyDescent="0.2">
      <c r="A153" s="56"/>
      <c r="B153" s="56"/>
      <c r="C153" s="56"/>
      <c r="D153" s="47"/>
      <c r="E153" s="47"/>
      <c r="F153" s="56"/>
      <c r="G153" s="56"/>
    </row>
    <row r="154" spans="1:7" x14ac:dyDescent="0.2">
      <c r="A154" s="56"/>
      <c r="B154" s="56"/>
      <c r="C154" s="56"/>
      <c r="D154" s="47"/>
      <c r="E154" s="47"/>
      <c r="F154" s="56"/>
      <c r="G154" s="56"/>
    </row>
    <row r="155" spans="1:7" x14ac:dyDescent="0.2">
      <c r="A155" s="56"/>
      <c r="B155" s="56"/>
      <c r="C155" s="56"/>
      <c r="D155" s="47"/>
      <c r="E155" s="47"/>
      <c r="F155" s="56"/>
      <c r="G155" s="56"/>
    </row>
    <row r="156" spans="1:7" x14ac:dyDescent="0.2">
      <c r="A156" s="56"/>
      <c r="B156" s="56"/>
      <c r="C156" s="56"/>
      <c r="D156" s="47"/>
      <c r="E156" s="47"/>
      <c r="F156" s="56"/>
      <c r="G156" s="56"/>
    </row>
    <row r="157" spans="1:7" x14ac:dyDescent="0.2">
      <c r="A157" s="56"/>
      <c r="B157" s="56"/>
      <c r="C157" s="56"/>
      <c r="D157" s="47"/>
      <c r="E157" s="47"/>
      <c r="F157" s="56"/>
      <c r="G157" s="56"/>
    </row>
    <row r="158" spans="1:7" x14ac:dyDescent="0.2">
      <c r="A158" s="56"/>
      <c r="B158" s="56"/>
      <c r="C158" s="56"/>
      <c r="D158" s="47"/>
      <c r="E158" s="47"/>
      <c r="F158" s="56"/>
      <c r="G158" s="56"/>
    </row>
    <row r="159" spans="1:7" x14ac:dyDescent="0.2">
      <c r="A159" s="56"/>
      <c r="B159" s="56"/>
      <c r="C159" s="56"/>
      <c r="D159" s="47"/>
      <c r="E159" s="47"/>
      <c r="F159" s="56"/>
      <c r="G159" s="56"/>
    </row>
    <row r="160" spans="1:7" x14ac:dyDescent="0.2">
      <c r="A160" s="56"/>
      <c r="B160" s="56"/>
      <c r="C160" s="56"/>
      <c r="D160" s="47"/>
      <c r="E160" s="47"/>
      <c r="F160" s="56"/>
      <c r="G160" s="56"/>
    </row>
    <row r="161" spans="1:7" x14ac:dyDescent="0.2">
      <c r="A161" s="56"/>
      <c r="B161" s="56"/>
      <c r="C161" s="56"/>
      <c r="D161" s="47"/>
      <c r="E161" s="47"/>
      <c r="F161" s="56"/>
      <c r="G161" s="56"/>
    </row>
    <row r="162" spans="1:7" x14ac:dyDescent="0.2">
      <c r="A162" s="56"/>
      <c r="B162" s="56"/>
      <c r="C162" s="56"/>
      <c r="D162" s="47"/>
      <c r="E162" s="47"/>
      <c r="F162" s="56"/>
      <c r="G162" s="56"/>
    </row>
    <row r="163" spans="1:7" x14ac:dyDescent="0.2">
      <c r="A163" s="56"/>
      <c r="B163" s="56"/>
      <c r="C163" s="56"/>
      <c r="D163" s="47"/>
      <c r="E163" s="47"/>
      <c r="F163" s="56"/>
      <c r="G163" s="56"/>
    </row>
    <row r="164" spans="1:7" x14ac:dyDescent="0.2">
      <c r="A164" s="56"/>
      <c r="B164" s="56"/>
      <c r="C164" s="56"/>
      <c r="D164" s="47"/>
      <c r="E164" s="47"/>
      <c r="F164" s="56"/>
      <c r="G164" s="56"/>
    </row>
    <row r="165" spans="1:7" x14ac:dyDescent="0.2">
      <c r="A165" s="56"/>
      <c r="B165" s="56"/>
      <c r="C165" s="56"/>
      <c r="D165" s="47"/>
      <c r="E165" s="47"/>
      <c r="F165" s="56"/>
      <c r="G165" s="56"/>
    </row>
    <row r="166" spans="1:7" x14ac:dyDescent="0.2">
      <c r="A166" s="56"/>
      <c r="B166" s="56"/>
      <c r="C166" s="56"/>
      <c r="D166" s="47"/>
      <c r="E166" s="47"/>
      <c r="F166" s="56"/>
      <c r="G166" s="56"/>
    </row>
    <row r="167" spans="1:7" x14ac:dyDescent="0.2">
      <c r="A167" s="56"/>
      <c r="B167" s="56"/>
      <c r="C167" s="56"/>
      <c r="D167" s="47"/>
      <c r="E167" s="47"/>
      <c r="F167" s="56"/>
      <c r="G167" s="56"/>
    </row>
    <row r="168" spans="1:7" x14ac:dyDescent="0.2">
      <c r="A168" s="56"/>
      <c r="B168" s="56"/>
      <c r="C168" s="56"/>
      <c r="D168" s="47"/>
      <c r="E168" s="47"/>
      <c r="F168" s="56"/>
      <c r="G168" s="56"/>
    </row>
    <row r="169" spans="1:7" x14ac:dyDescent="0.2">
      <c r="A169" s="56"/>
      <c r="B169" s="56"/>
      <c r="C169" s="56"/>
      <c r="D169" s="47"/>
      <c r="E169" s="47"/>
      <c r="F169" s="56"/>
      <c r="G169" s="56"/>
    </row>
    <row r="170" spans="1:7" x14ac:dyDescent="0.2">
      <c r="A170" s="56"/>
      <c r="B170" s="56"/>
      <c r="C170" s="56"/>
      <c r="D170" s="47"/>
      <c r="E170" s="47"/>
      <c r="F170" s="56"/>
      <c r="G170" s="56"/>
    </row>
    <row r="171" spans="1:7" x14ac:dyDescent="0.2">
      <c r="A171" s="56"/>
      <c r="B171" s="56"/>
      <c r="C171" s="56"/>
      <c r="D171" s="47"/>
      <c r="E171" s="47"/>
      <c r="F171" s="56"/>
      <c r="G171" s="56"/>
    </row>
    <row r="172" spans="1:7" x14ac:dyDescent="0.2">
      <c r="A172" s="56"/>
      <c r="B172" s="56"/>
      <c r="C172" s="56"/>
      <c r="D172" s="47"/>
      <c r="E172" s="47"/>
      <c r="F172" s="56"/>
      <c r="G172" s="56"/>
    </row>
    <row r="173" spans="1:7" x14ac:dyDescent="0.2">
      <c r="A173" s="56"/>
      <c r="B173" s="56"/>
      <c r="C173" s="56"/>
      <c r="D173" s="47"/>
      <c r="E173" s="47"/>
      <c r="F173" s="56"/>
      <c r="G173" s="56"/>
    </row>
    <row r="174" spans="1:7" x14ac:dyDescent="0.2">
      <c r="A174" s="56"/>
      <c r="B174" s="56"/>
      <c r="C174" s="56"/>
      <c r="D174" s="47"/>
      <c r="E174" s="47"/>
      <c r="F174" s="56"/>
      <c r="G174" s="56"/>
    </row>
    <row r="175" spans="1:7" x14ac:dyDescent="0.2">
      <c r="A175" s="56"/>
      <c r="B175" s="56"/>
      <c r="C175" s="56"/>
      <c r="D175" s="47"/>
      <c r="E175" s="47"/>
      <c r="F175" s="56"/>
      <c r="G175" s="56"/>
    </row>
    <row r="176" spans="1:7" x14ac:dyDescent="0.2">
      <c r="A176" s="56"/>
      <c r="B176" s="56"/>
      <c r="C176" s="56"/>
      <c r="D176" s="47"/>
      <c r="E176" s="47"/>
      <c r="F176" s="56"/>
      <c r="G176" s="56"/>
    </row>
    <row r="177" spans="1:7" x14ac:dyDescent="0.2">
      <c r="A177" s="56"/>
      <c r="B177" s="56"/>
      <c r="C177" s="56"/>
      <c r="D177" s="47"/>
      <c r="E177" s="47"/>
      <c r="F177" s="56"/>
      <c r="G177" s="56"/>
    </row>
    <row r="178" spans="1:7" x14ac:dyDescent="0.2">
      <c r="A178" s="56"/>
      <c r="B178" s="56"/>
      <c r="C178" s="56"/>
      <c r="D178" s="47"/>
      <c r="E178" s="47"/>
      <c r="F178" s="56"/>
      <c r="G178" s="56"/>
    </row>
    <row r="179" spans="1:7" x14ac:dyDescent="0.2">
      <c r="A179" s="56"/>
      <c r="B179" s="56"/>
      <c r="C179" s="56"/>
      <c r="D179" s="47"/>
      <c r="E179" s="47"/>
      <c r="F179" s="56"/>
      <c r="G179" s="56"/>
    </row>
    <row r="180" spans="1:7" x14ac:dyDescent="0.2">
      <c r="A180" s="56"/>
      <c r="B180" s="56"/>
      <c r="C180" s="56"/>
      <c r="D180" s="47"/>
      <c r="E180" s="47"/>
      <c r="F180" s="56"/>
      <c r="G180" s="56"/>
    </row>
    <row r="181" spans="1:7" x14ac:dyDescent="0.2">
      <c r="A181" s="56"/>
      <c r="B181" s="56"/>
      <c r="C181" s="56"/>
      <c r="D181" s="47"/>
      <c r="E181" s="47"/>
      <c r="F181" s="56"/>
      <c r="G181" s="56"/>
    </row>
    <row r="182" spans="1:7" x14ac:dyDescent="0.2">
      <c r="A182" s="56"/>
      <c r="B182" s="56"/>
      <c r="C182" s="56"/>
      <c r="D182" s="47"/>
      <c r="E182" s="47"/>
      <c r="F182" s="56"/>
      <c r="G182" s="56"/>
    </row>
    <row r="183" spans="1:7" x14ac:dyDescent="0.2">
      <c r="A183" s="56"/>
      <c r="B183" s="56"/>
      <c r="C183" s="56"/>
      <c r="D183" s="47"/>
      <c r="E183" s="47"/>
      <c r="F183" s="56"/>
      <c r="G183" s="56"/>
    </row>
    <row r="184" spans="1:7" x14ac:dyDescent="0.2">
      <c r="A184" s="56"/>
      <c r="B184" s="56"/>
      <c r="C184" s="56"/>
      <c r="D184" s="47"/>
      <c r="E184" s="47"/>
      <c r="F184" s="56"/>
      <c r="G184" s="56"/>
    </row>
    <row r="185" spans="1:7" x14ac:dyDescent="0.2">
      <c r="A185" s="56"/>
      <c r="B185" s="56"/>
      <c r="C185" s="56"/>
      <c r="D185" s="47"/>
      <c r="E185" s="47"/>
      <c r="F185" s="56"/>
      <c r="G185" s="56"/>
    </row>
    <row r="186" spans="1:7" x14ac:dyDescent="0.2">
      <c r="A186" s="56"/>
      <c r="B186" s="56"/>
      <c r="C186" s="56"/>
      <c r="D186" s="47"/>
      <c r="E186" s="47"/>
      <c r="F186" s="56"/>
      <c r="G186" s="56"/>
    </row>
    <row r="187" spans="1:7" x14ac:dyDescent="0.2">
      <c r="A187" s="56"/>
      <c r="B187" s="56"/>
      <c r="C187" s="56"/>
      <c r="D187" s="47"/>
      <c r="E187" s="47"/>
      <c r="F187" s="56"/>
      <c r="G187" s="56"/>
    </row>
    <row r="188" spans="1:7" x14ac:dyDescent="0.2">
      <c r="A188" s="56"/>
      <c r="B188" s="56"/>
      <c r="C188" s="56"/>
      <c r="D188" s="47"/>
      <c r="E188" s="47"/>
      <c r="F188" s="56"/>
      <c r="G188" s="56"/>
    </row>
    <row r="189" spans="1:7" x14ac:dyDescent="0.2">
      <c r="A189" s="56"/>
      <c r="B189" s="56"/>
      <c r="C189" s="56"/>
      <c r="D189" s="47"/>
      <c r="E189" s="47"/>
      <c r="F189" s="56"/>
      <c r="G189" s="56"/>
    </row>
    <row r="190" spans="1:7" x14ac:dyDescent="0.2">
      <c r="A190" s="56"/>
      <c r="B190" s="56"/>
      <c r="C190" s="56"/>
      <c r="D190" s="47"/>
      <c r="E190" s="47"/>
      <c r="F190" s="56"/>
      <c r="G190" s="56"/>
    </row>
    <row r="191" spans="1:7" x14ac:dyDescent="0.2">
      <c r="A191" s="56"/>
      <c r="B191" s="56"/>
      <c r="C191" s="56"/>
      <c r="D191" s="47"/>
      <c r="E191" s="47"/>
      <c r="F191" s="56"/>
      <c r="G191" s="56"/>
    </row>
    <row r="192" spans="1:7" x14ac:dyDescent="0.2">
      <c r="A192" s="56"/>
      <c r="B192" s="56"/>
      <c r="C192" s="56"/>
      <c r="D192" s="47"/>
      <c r="E192" s="47"/>
      <c r="F192" s="56"/>
      <c r="G192" s="56"/>
    </row>
    <row r="193" spans="1:7" x14ac:dyDescent="0.2">
      <c r="A193" s="56"/>
      <c r="B193" s="56"/>
      <c r="C193" s="56"/>
      <c r="D193" s="47"/>
      <c r="E193" s="47"/>
      <c r="F193" s="56"/>
      <c r="G193" s="56"/>
    </row>
    <row r="194" spans="1:7" x14ac:dyDescent="0.2">
      <c r="A194" s="56"/>
      <c r="B194" s="56"/>
      <c r="C194" s="56"/>
      <c r="D194" s="47"/>
      <c r="E194" s="47"/>
      <c r="F194" s="56"/>
      <c r="G194" s="56"/>
    </row>
    <row r="195" spans="1:7" x14ac:dyDescent="0.2">
      <c r="A195" s="56"/>
      <c r="B195" s="56"/>
      <c r="C195" s="56"/>
      <c r="D195" s="47"/>
      <c r="E195" s="47"/>
      <c r="F195" s="56"/>
      <c r="G195" s="56"/>
    </row>
    <row r="196" spans="1:7" x14ac:dyDescent="0.2">
      <c r="A196" s="56"/>
      <c r="B196" s="56"/>
      <c r="C196" s="56"/>
      <c r="D196" s="47"/>
      <c r="E196" s="47"/>
      <c r="F196" s="56"/>
      <c r="G196" s="56"/>
    </row>
    <row r="197" spans="1:7" x14ac:dyDescent="0.2">
      <c r="A197" s="56"/>
      <c r="B197" s="56"/>
      <c r="C197" s="56"/>
      <c r="D197" s="47"/>
      <c r="E197" s="47"/>
      <c r="F197" s="56"/>
      <c r="G197" s="56"/>
    </row>
    <row r="198" spans="1:7" x14ac:dyDescent="0.2">
      <c r="A198" s="56"/>
      <c r="B198" s="56"/>
      <c r="C198" s="56"/>
      <c r="D198" s="47"/>
      <c r="E198" s="47"/>
      <c r="F198" s="56"/>
      <c r="G198" s="56"/>
    </row>
    <row r="199" spans="1:7" x14ac:dyDescent="0.2">
      <c r="A199" s="56"/>
      <c r="B199" s="56"/>
      <c r="C199" s="56"/>
      <c r="D199" s="47"/>
      <c r="E199" s="47"/>
      <c r="F199" s="56"/>
      <c r="G199" s="56"/>
    </row>
    <row r="200" spans="1:7" x14ac:dyDescent="0.2">
      <c r="A200" s="56"/>
      <c r="B200" s="56"/>
      <c r="C200" s="56"/>
      <c r="D200" s="47"/>
      <c r="E200" s="47"/>
      <c r="F200" s="56"/>
      <c r="G200" s="56"/>
    </row>
    <row r="201" spans="1:7" x14ac:dyDescent="0.2">
      <c r="A201" s="56"/>
      <c r="B201" s="56"/>
      <c r="C201" s="56"/>
      <c r="D201" s="47"/>
      <c r="E201" s="47"/>
      <c r="F201" s="56"/>
      <c r="G201" s="56"/>
    </row>
    <row r="202" spans="1:7" x14ac:dyDescent="0.2">
      <c r="A202" s="56"/>
      <c r="B202" s="56"/>
      <c r="C202" s="56"/>
      <c r="D202" s="47"/>
      <c r="E202" s="47"/>
      <c r="F202" s="56"/>
      <c r="G202" s="56"/>
    </row>
    <row r="203" spans="1:7" x14ac:dyDescent="0.2">
      <c r="A203" s="56"/>
      <c r="B203" s="56"/>
      <c r="C203" s="56"/>
      <c r="D203" s="47"/>
      <c r="E203" s="47"/>
      <c r="F203" s="56"/>
      <c r="G203" s="56"/>
    </row>
    <row r="204" spans="1:7" x14ac:dyDescent="0.2">
      <c r="A204" s="56"/>
      <c r="B204" s="56"/>
      <c r="C204" s="56"/>
      <c r="D204" s="47"/>
      <c r="E204" s="47"/>
      <c r="F204" s="56"/>
      <c r="G204" s="56"/>
    </row>
    <row r="205" spans="1:7" x14ac:dyDescent="0.2">
      <c r="A205" s="56"/>
      <c r="B205" s="56"/>
      <c r="C205" s="56"/>
      <c r="D205" s="47"/>
      <c r="E205" s="47"/>
      <c r="F205" s="56"/>
      <c r="G205" s="56"/>
    </row>
    <row r="206" spans="1:7" x14ac:dyDescent="0.2">
      <c r="A206" s="56"/>
      <c r="B206" s="56"/>
      <c r="C206" s="56"/>
      <c r="D206" s="47"/>
      <c r="E206" s="47"/>
      <c r="F206" s="56"/>
      <c r="G206" s="56"/>
    </row>
    <row r="207" spans="1:7" x14ac:dyDescent="0.2">
      <c r="A207" s="56"/>
      <c r="B207" s="56"/>
      <c r="C207" s="56"/>
      <c r="D207" s="47"/>
      <c r="E207" s="47"/>
      <c r="F207" s="56"/>
      <c r="G207" s="56"/>
    </row>
    <row r="208" spans="1:7" x14ac:dyDescent="0.2">
      <c r="A208" s="56"/>
      <c r="B208" s="56"/>
      <c r="C208" s="56"/>
      <c r="D208" s="47"/>
      <c r="E208" s="47"/>
      <c r="F208" s="56"/>
      <c r="G208" s="56"/>
    </row>
    <row r="209" spans="1:7" x14ac:dyDescent="0.2">
      <c r="A209" s="56"/>
      <c r="B209" s="56"/>
      <c r="C209" s="56"/>
      <c r="D209" s="47"/>
      <c r="E209" s="47"/>
      <c r="F209" s="56"/>
      <c r="G209" s="56"/>
    </row>
    <row r="210" spans="1:7" x14ac:dyDescent="0.2">
      <c r="A210" s="56"/>
      <c r="B210" s="56"/>
      <c r="C210" s="56"/>
      <c r="D210" s="47"/>
      <c r="E210" s="47"/>
      <c r="F210" s="56"/>
      <c r="G210" s="56"/>
    </row>
    <row r="211" spans="1:7" x14ac:dyDescent="0.2">
      <c r="A211" s="56"/>
      <c r="B211" s="56"/>
      <c r="C211" s="56"/>
      <c r="D211" s="47"/>
      <c r="E211" s="47"/>
      <c r="F211" s="56"/>
      <c r="G211" s="56"/>
    </row>
    <row r="212" spans="1:7" x14ac:dyDescent="0.2">
      <c r="A212" s="56"/>
      <c r="B212" s="56"/>
      <c r="C212" s="56"/>
      <c r="D212" s="47"/>
      <c r="E212" s="47"/>
      <c r="F212" s="56"/>
      <c r="G212" s="56"/>
    </row>
    <row r="213" spans="1:7" x14ac:dyDescent="0.2">
      <c r="A213" s="56"/>
      <c r="B213" s="56"/>
      <c r="C213" s="56"/>
      <c r="D213" s="47"/>
      <c r="E213" s="47"/>
      <c r="F213" s="56"/>
      <c r="G213" s="56"/>
    </row>
    <row r="214" spans="1:7" x14ac:dyDescent="0.2">
      <c r="A214" s="56"/>
      <c r="B214" s="56"/>
      <c r="C214" s="56"/>
      <c r="D214" s="47"/>
      <c r="E214" s="47"/>
      <c r="F214" s="56"/>
      <c r="G214" s="56"/>
    </row>
    <row r="215" spans="1:7" x14ac:dyDescent="0.2">
      <c r="A215" s="56"/>
      <c r="B215" s="56"/>
      <c r="C215" s="56"/>
      <c r="D215" s="47"/>
      <c r="E215" s="47"/>
      <c r="F215" s="56"/>
      <c r="G215" s="56"/>
    </row>
    <row r="216" spans="1:7" x14ac:dyDescent="0.2">
      <c r="A216" s="56"/>
      <c r="B216" s="56"/>
      <c r="C216" s="56"/>
      <c r="D216" s="47"/>
      <c r="E216" s="47"/>
      <c r="F216" s="56"/>
      <c r="G216" s="56"/>
    </row>
    <row r="217" spans="1:7" x14ac:dyDescent="0.2">
      <c r="A217" s="56"/>
      <c r="B217" s="56"/>
      <c r="C217" s="56"/>
      <c r="D217" s="47"/>
      <c r="E217" s="47"/>
      <c r="F217" s="56"/>
      <c r="G217" s="56"/>
    </row>
    <row r="218" spans="1:7" x14ac:dyDescent="0.2">
      <c r="A218" s="56"/>
      <c r="B218" s="56"/>
      <c r="C218" s="56"/>
      <c r="D218" s="47"/>
      <c r="E218" s="47"/>
      <c r="F218" s="56"/>
      <c r="G218" s="56"/>
    </row>
    <row r="219" spans="1:7" x14ac:dyDescent="0.2">
      <c r="A219" s="56"/>
      <c r="B219" s="56"/>
      <c r="C219" s="56"/>
      <c r="D219" s="47"/>
      <c r="E219" s="47"/>
      <c r="F219" s="56"/>
      <c r="G219" s="56"/>
    </row>
    <row r="220" spans="1:7" x14ac:dyDescent="0.2">
      <c r="A220" s="56"/>
      <c r="B220" s="56"/>
      <c r="C220" s="56"/>
      <c r="D220" s="47"/>
      <c r="E220" s="47"/>
      <c r="F220" s="56"/>
      <c r="G220" s="56"/>
    </row>
    <row r="221" spans="1:7" x14ac:dyDescent="0.2">
      <c r="A221" s="56"/>
      <c r="B221" s="56"/>
      <c r="C221" s="56"/>
      <c r="D221" s="47"/>
      <c r="E221" s="47"/>
      <c r="F221" s="56"/>
      <c r="G221" s="56"/>
    </row>
    <row r="222" spans="1:7" x14ac:dyDescent="0.2">
      <c r="A222" s="56"/>
      <c r="B222" s="56"/>
      <c r="C222" s="56"/>
      <c r="D222" s="47"/>
      <c r="E222" s="47"/>
      <c r="F222" s="56"/>
      <c r="G222" s="56"/>
    </row>
    <row r="223" spans="1:7" x14ac:dyDescent="0.2">
      <c r="A223" s="56"/>
      <c r="B223" s="56"/>
      <c r="C223" s="56"/>
      <c r="D223" s="47"/>
      <c r="E223" s="47"/>
      <c r="F223" s="56"/>
      <c r="G223" s="56"/>
    </row>
    <row r="224" spans="1:7" x14ac:dyDescent="0.2">
      <c r="A224" s="56"/>
      <c r="B224" s="56"/>
      <c r="C224" s="56"/>
      <c r="D224" s="47"/>
      <c r="E224" s="47"/>
      <c r="F224" s="56"/>
      <c r="G224" s="56"/>
    </row>
    <row r="225" spans="1:7" x14ac:dyDescent="0.2">
      <c r="A225" s="56"/>
      <c r="B225" s="56"/>
      <c r="C225" s="56"/>
      <c r="D225" s="47"/>
      <c r="E225" s="47"/>
      <c r="F225" s="56"/>
      <c r="G225" s="56"/>
    </row>
    <row r="226" spans="1:7" x14ac:dyDescent="0.2">
      <c r="A226" s="56"/>
      <c r="B226" s="56"/>
      <c r="C226" s="56"/>
      <c r="D226" s="47"/>
      <c r="E226" s="47"/>
      <c r="F226" s="56"/>
      <c r="G226" s="56"/>
    </row>
    <row r="227" spans="1:7" x14ac:dyDescent="0.2">
      <c r="A227" s="56"/>
      <c r="B227" s="56"/>
      <c r="C227" s="56"/>
      <c r="D227" s="47"/>
      <c r="E227" s="47"/>
      <c r="F227" s="56"/>
      <c r="G227" s="56"/>
    </row>
    <row r="228" spans="1:7" x14ac:dyDescent="0.2">
      <c r="A228" s="56"/>
      <c r="B228" s="56"/>
      <c r="C228" s="56"/>
      <c r="D228" s="47"/>
      <c r="E228" s="47"/>
      <c r="F228" s="56"/>
      <c r="G228" s="56"/>
    </row>
    <row r="229" spans="1:7" x14ac:dyDescent="0.2">
      <c r="A229" s="56"/>
      <c r="B229" s="56"/>
      <c r="C229" s="56"/>
      <c r="D229" s="47"/>
      <c r="E229" s="47"/>
      <c r="F229" s="56"/>
      <c r="G229" s="56"/>
    </row>
    <row r="230" spans="1:7" x14ac:dyDescent="0.2">
      <c r="A230" s="56"/>
      <c r="B230" s="56"/>
      <c r="C230" s="56"/>
      <c r="D230" s="47"/>
      <c r="E230" s="47"/>
      <c r="F230" s="56"/>
      <c r="G230" s="56"/>
    </row>
    <row r="231" spans="1:7" x14ac:dyDescent="0.2">
      <c r="A231" s="56"/>
      <c r="B231" s="56"/>
      <c r="C231" s="56"/>
      <c r="D231" s="47"/>
      <c r="E231" s="47"/>
      <c r="F231" s="56"/>
      <c r="G231" s="56"/>
    </row>
    <row r="232" spans="1:7" x14ac:dyDescent="0.2">
      <c r="A232" s="56"/>
      <c r="B232" s="56"/>
      <c r="C232" s="56"/>
      <c r="D232" s="47"/>
      <c r="E232" s="47"/>
      <c r="F232" s="56"/>
      <c r="G232" s="56"/>
    </row>
    <row r="233" spans="1:7" x14ac:dyDescent="0.2">
      <c r="A233" s="56"/>
      <c r="B233" s="56"/>
      <c r="C233" s="56"/>
      <c r="D233" s="47"/>
      <c r="E233" s="47"/>
      <c r="F233" s="56"/>
      <c r="G233" s="56"/>
    </row>
    <row r="234" spans="1:7" x14ac:dyDescent="0.2">
      <c r="A234" s="56"/>
      <c r="B234" s="56"/>
      <c r="C234" s="56"/>
      <c r="D234" s="47"/>
      <c r="E234" s="47"/>
      <c r="F234" s="56"/>
      <c r="G234" s="56"/>
    </row>
    <row r="235" spans="1:7" x14ac:dyDescent="0.2">
      <c r="A235" s="56"/>
      <c r="B235" s="56"/>
      <c r="C235" s="56"/>
      <c r="D235" s="47"/>
      <c r="E235" s="47"/>
      <c r="F235" s="56"/>
      <c r="G235" s="56"/>
    </row>
    <row r="236" spans="1:7" x14ac:dyDescent="0.2">
      <c r="A236" s="56"/>
      <c r="B236" s="56"/>
      <c r="C236" s="56"/>
      <c r="D236" s="47"/>
      <c r="E236" s="47"/>
      <c r="F236" s="56"/>
      <c r="G236" s="56"/>
    </row>
    <row r="237" spans="1:7" x14ac:dyDescent="0.2">
      <c r="A237" s="56"/>
      <c r="B237" s="56"/>
      <c r="C237" s="56"/>
      <c r="D237" s="47"/>
      <c r="E237" s="47"/>
      <c r="F237" s="56"/>
      <c r="G237" s="56"/>
    </row>
    <row r="238" spans="1:7" x14ac:dyDescent="0.2">
      <c r="A238" s="56"/>
      <c r="B238" s="56"/>
      <c r="C238" s="56"/>
      <c r="D238" s="47"/>
      <c r="E238" s="47"/>
      <c r="F238" s="56"/>
      <c r="G238" s="56"/>
    </row>
    <row r="239" spans="1:7" x14ac:dyDescent="0.2">
      <c r="A239" s="56"/>
      <c r="B239" s="56"/>
      <c r="C239" s="56"/>
      <c r="D239" s="47"/>
      <c r="E239" s="47"/>
      <c r="F239" s="56"/>
      <c r="G239" s="56"/>
    </row>
    <row r="240" spans="1:7" x14ac:dyDescent="0.2">
      <c r="A240" s="56"/>
      <c r="B240" s="56"/>
      <c r="C240" s="56"/>
      <c r="D240" s="47"/>
      <c r="E240" s="47"/>
      <c r="F240" s="56"/>
      <c r="G240" s="56"/>
    </row>
    <row r="241" spans="1:7" x14ac:dyDescent="0.2">
      <c r="A241" s="56"/>
      <c r="B241" s="56"/>
      <c r="C241" s="56"/>
      <c r="D241" s="47"/>
      <c r="E241" s="47"/>
      <c r="F241" s="56"/>
      <c r="G241" s="56"/>
    </row>
    <row r="242" spans="1:7" x14ac:dyDescent="0.2">
      <c r="A242" s="56"/>
      <c r="B242" s="56"/>
      <c r="C242" s="56"/>
      <c r="D242" s="47"/>
      <c r="E242" s="47"/>
      <c r="F242" s="56"/>
      <c r="G242" s="56"/>
    </row>
    <row r="243" spans="1:7" x14ac:dyDescent="0.2">
      <c r="A243" s="56"/>
      <c r="B243" s="56"/>
      <c r="C243" s="56"/>
      <c r="D243" s="47"/>
      <c r="E243" s="47"/>
      <c r="F243" s="56"/>
      <c r="G243" s="56"/>
    </row>
    <row r="244" spans="1:7" x14ac:dyDescent="0.2">
      <c r="A244" s="56"/>
      <c r="B244" s="56"/>
      <c r="C244" s="56"/>
      <c r="D244" s="47"/>
      <c r="E244" s="47"/>
      <c r="F244" s="56"/>
      <c r="G244" s="56"/>
    </row>
    <row r="245" spans="1:7" x14ac:dyDescent="0.2">
      <c r="A245" s="56"/>
      <c r="B245" s="56"/>
      <c r="C245" s="56"/>
      <c r="D245" s="47"/>
      <c r="E245" s="47"/>
      <c r="F245" s="56"/>
      <c r="G245" s="56"/>
    </row>
    <row r="246" spans="1:7" x14ac:dyDescent="0.2">
      <c r="A246" s="56"/>
      <c r="B246" s="56"/>
      <c r="C246" s="56"/>
      <c r="D246" s="47"/>
      <c r="E246" s="47"/>
      <c r="F246" s="56"/>
      <c r="G246" s="56"/>
    </row>
    <row r="247" spans="1:7" x14ac:dyDescent="0.2">
      <c r="A247" s="56"/>
      <c r="B247" s="56"/>
      <c r="C247" s="56"/>
      <c r="D247" s="47"/>
      <c r="E247" s="47"/>
      <c r="F247" s="56"/>
      <c r="G247" s="56"/>
    </row>
    <row r="248" spans="1:7" x14ac:dyDescent="0.2">
      <c r="A248" s="56"/>
      <c r="B248" s="56"/>
      <c r="C248" s="56"/>
      <c r="D248" s="47"/>
      <c r="E248" s="47"/>
      <c r="F248" s="56"/>
      <c r="G248" s="56"/>
    </row>
    <row r="249" spans="1:7" x14ac:dyDescent="0.2">
      <c r="A249" s="56"/>
      <c r="B249" s="56"/>
      <c r="C249" s="56"/>
      <c r="D249" s="47"/>
      <c r="E249" s="47"/>
      <c r="F249" s="56"/>
      <c r="G249" s="56"/>
    </row>
    <row r="250" spans="1:7" x14ac:dyDescent="0.2">
      <c r="A250" s="56"/>
      <c r="B250" s="56"/>
      <c r="C250" s="56"/>
      <c r="D250" s="47"/>
      <c r="E250" s="47"/>
      <c r="F250" s="56"/>
      <c r="G250" s="56"/>
    </row>
    <row r="251" spans="1:7" x14ac:dyDescent="0.2">
      <c r="A251" s="56"/>
      <c r="B251" s="56"/>
      <c r="C251" s="56"/>
      <c r="D251" s="47"/>
      <c r="E251" s="47"/>
      <c r="F251" s="56"/>
      <c r="G251" s="56"/>
    </row>
    <row r="252" spans="1:7" x14ac:dyDescent="0.2">
      <c r="A252" s="56"/>
      <c r="B252" s="56"/>
      <c r="C252" s="56"/>
      <c r="D252" s="47"/>
      <c r="E252" s="47"/>
      <c r="F252" s="56"/>
      <c r="G252" s="56"/>
    </row>
    <row r="253" spans="1:7" x14ac:dyDescent="0.2">
      <c r="A253" s="56"/>
      <c r="B253" s="56"/>
      <c r="C253" s="56"/>
      <c r="D253" s="47"/>
      <c r="E253" s="47"/>
      <c r="F253" s="56"/>
      <c r="G253" s="56"/>
    </row>
    <row r="254" spans="1:7" x14ac:dyDescent="0.2">
      <c r="A254" s="56"/>
      <c r="B254" s="56"/>
      <c r="C254" s="56"/>
      <c r="D254" s="47"/>
      <c r="E254" s="47"/>
      <c r="F254" s="56"/>
      <c r="G254" s="56"/>
    </row>
    <row r="255" spans="1:7" x14ac:dyDescent="0.2">
      <c r="A255" s="56"/>
      <c r="B255" s="56"/>
      <c r="C255" s="56"/>
      <c r="D255" s="47"/>
      <c r="E255" s="47"/>
      <c r="F255" s="56"/>
      <c r="G255" s="56"/>
    </row>
    <row r="256" spans="1:7" x14ac:dyDescent="0.2">
      <c r="A256" s="56"/>
      <c r="B256" s="56"/>
      <c r="C256" s="56"/>
      <c r="D256" s="47"/>
      <c r="E256" s="47"/>
      <c r="F256" s="56"/>
      <c r="G256" s="56"/>
    </row>
    <row r="257" spans="1:7" x14ac:dyDescent="0.2">
      <c r="A257" s="56"/>
      <c r="B257" s="56"/>
      <c r="C257" s="56"/>
      <c r="D257" s="47"/>
      <c r="E257" s="47"/>
      <c r="F257" s="56"/>
      <c r="G257" s="56"/>
    </row>
    <row r="258" spans="1:7" x14ac:dyDescent="0.2">
      <c r="A258" s="56"/>
      <c r="B258" s="56"/>
      <c r="C258" s="56"/>
      <c r="D258" s="47"/>
      <c r="E258" s="47"/>
      <c r="F258" s="56"/>
      <c r="G258" s="56"/>
    </row>
    <row r="259" spans="1:7" x14ac:dyDescent="0.2">
      <c r="A259" s="56"/>
      <c r="B259" s="56"/>
      <c r="C259" s="56"/>
      <c r="D259" s="47"/>
      <c r="E259" s="47"/>
      <c r="F259" s="56"/>
      <c r="G259" s="56"/>
    </row>
    <row r="260" spans="1:7" x14ac:dyDescent="0.2">
      <c r="A260" s="56"/>
      <c r="B260" s="56"/>
      <c r="C260" s="56"/>
      <c r="D260" s="47"/>
      <c r="E260" s="47"/>
      <c r="F260" s="56"/>
      <c r="G260" s="56"/>
    </row>
    <row r="261" spans="1:7" x14ac:dyDescent="0.2">
      <c r="A261" s="56"/>
      <c r="B261" s="56"/>
      <c r="C261" s="56"/>
      <c r="D261" s="47"/>
      <c r="E261" s="47"/>
      <c r="F261" s="56"/>
      <c r="G261" s="56"/>
    </row>
    <row r="262" spans="1:7" x14ac:dyDescent="0.2">
      <c r="A262" s="56"/>
      <c r="B262" s="56"/>
      <c r="C262" s="56"/>
      <c r="D262" s="47"/>
      <c r="E262" s="47"/>
      <c r="F262" s="56"/>
      <c r="G262" s="56"/>
    </row>
    <row r="263" spans="1:7" x14ac:dyDescent="0.2">
      <c r="A263" s="56"/>
      <c r="B263" s="56"/>
      <c r="C263" s="56"/>
      <c r="D263" s="47"/>
      <c r="E263" s="47"/>
      <c r="F263" s="56"/>
      <c r="G263" s="56"/>
    </row>
    <row r="264" spans="1:7" x14ac:dyDescent="0.2">
      <c r="A264" s="56"/>
      <c r="B264" s="56"/>
      <c r="C264" s="56"/>
      <c r="D264" s="47"/>
      <c r="E264" s="47"/>
      <c r="F264" s="56"/>
      <c r="G264" s="56"/>
    </row>
    <row r="265" spans="1:7" x14ac:dyDescent="0.2">
      <c r="A265" s="56"/>
      <c r="B265" s="56"/>
      <c r="C265" s="56"/>
      <c r="D265" s="47"/>
      <c r="E265" s="47"/>
      <c r="F265" s="56"/>
      <c r="G265" s="56"/>
    </row>
    <row r="266" spans="1:7" x14ac:dyDescent="0.2">
      <c r="A266" s="56"/>
      <c r="B266" s="56"/>
      <c r="C266" s="56"/>
      <c r="D266" s="47"/>
      <c r="E266" s="47"/>
      <c r="F266" s="56"/>
      <c r="G266" s="56"/>
    </row>
    <row r="267" spans="1:7" x14ac:dyDescent="0.2">
      <c r="A267" s="56"/>
      <c r="B267" s="56"/>
      <c r="C267" s="56"/>
      <c r="D267" s="47"/>
      <c r="E267" s="47"/>
      <c r="F267" s="56"/>
      <c r="G267" s="56"/>
    </row>
    <row r="268" spans="1:7" x14ac:dyDescent="0.2">
      <c r="A268" s="56"/>
      <c r="B268" s="56"/>
      <c r="C268" s="56"/>
      <c r="D268" s="47"/>
      <c r="E268" s="47"/>
      <c r="F268" s="56"/>
      <c r="G268" s="56"/>
    </row>
    <row r="269" spans="1:7" x14ac:dyDescent="0.2">
      <c r="A269" s="56"/>
      <c r="B269" s="56"/>
      <c r="C269" s="56"/>
      <c r="D269" s="47"/>
      <c r="E269" s="47"/>
      <c r="F269" s="56"/>
      <c r="G269" s="56"/>
    </row>
    <row r="270" spans="1:7" x14ac:dyDescent="0.2">
      <c r="A270" s="56"/>
      <c r="B270" s="56"/>
      <c r="C270" s="56"/>
      <c r="D270" s="47"/>
      <c r="E270" s="47"/>
      <c r="F270" s="56"/>
      <c r="G270" s="56"/>
    </row>
    <row r="271" spans="1:7" x14ac:dyDescent="0.2">
      <c r="A271" s="56"/>
      <c r="B271" s="56"/>
      <c r="C271" s="56"/>
      <c r="D271" s="47"/>
      <c r="E271" s="47"/>
      <c r="F271" s="56"/>
      <c r="G271" s="56"/>
    </row>
    <row r="272" spans="1:7" x14ac:dyDescent="0.2">
      <c r="A272" s="56"/>
      <c r="B272" s="56"/>
      <c r="C272" s="56"/>
      <c r="D272" s="47"/>
      <c r="E272" s="47"/>
      <c r="F272" s="56"/>
      <c r="G272" s="56"/>
    </row>
    <row r="273" spans="1:7" x14ac:dyDescent="0.2">
      <c r="A273" s="56"/>
      <c r="B273" s="56"/>
      <c r="C273" s="56"/>
      <c r="D273" s="47"/>
      <c r="E273" s="47"/>
      <c r="F273" s="56"/>
      <c r="G273" s="56"/>
    </row>
    <row r="274" spans="1:7" x14ac:dyDescent="0.2">
      <c r="A274" s="56"/>
      <c r="B274" s="56"/>
      <c r="C274" s="56"/>
      <c r="D274" s="47"/>
      <c r="E274" s="47"/>
      <c r="F274" s="56"/>
      <c r="G274" s="56"/>
    </row>
    <row r="275" spans="1:7" x14ac:dyDescent="0.2">
      <c r="A275" s="56"/>
      <c r="B275" s="56"/>
      <c r="C275" s="56"/>
      <c r="D275" s="47"/>
      <c r="E275" s="47"/>
      <c r="F275" s="56"/>
      <c r="G275" s="56"/>
    </row>
    <row r="276" spans="1:7" x14ac:dyDescent="0.2">
      <c r="A276" s="56"/>
      <c r="B276" s="56"/>
      <c r="C276" s="56"/>
      <c r="D276" s="47"/>
      <c r="E276" s="47"/>
      <c r="F276" s="56"/>
      <c r="G276" s="56"/>
    </row>
    <row r="277" spans="1:7" x14ac:dyDescent="0.2">
      <c r="A277" s="56"/>
      <c r="B277" s="56"/>
      <c r="C277" s="56"/>
      <c r="D277" s="47"/>
      <c r="E277" s="47"/>
      <c r="F277" s="56"/>
      <c r="G277" s="56"/>
    </row>
    <row r="278" spans="1:7" x14ac:dyDescent="0.2">
      <c r="A278" s="56"/>
      <c r="B278" s="56"/>
      <c r="C278" s="56"/>
      <c r="D278" s="47"/>
      <c r="E278" s="47"/>
      <c r="F278" s="56"/>
      <c r="G278" s="56"/>
    </row>
    <row r="279" spans="1:7" x14ac:dyDescent="0.2">
      <c r="A279" s="56"/>
      <c r="B279" s="56"/>
      <c r="C279" s="56"/>
      <c r="D279" s="47"/>
      <c r="E279" s="47"/>
      <c r="F279" s="56"/>
      <c r="G279" s="56"/>
    </row>
    <row r="280" spans="1:7" x14ac:dyDescent="0.2">
      <c r="A280" s="56"/>
      <c r="B280" s="56"/>
      <c r="C280" s="56"/>
      <c r="D280" s="47"/>
      <c r="E280" s="47"/>
      <c r="F280" s="56"/>
      <c r="G280" s="56"/>
    </row>
    <row r="281" spans="1:7" x14ac:dyDescent="0.2">
      <c r="A281" s="56"/>
      <c r="B281" s="56"/>
      <c r="C281" s="56"/>
      <c r="D281" s="47"/>
      <c r="E281" s="47"/>
      <c r="F281" s="56"/>
      <c r="G281" s="56"/>
    </row>
    <row r="282" spans="1:7" x14ac:dyDescent="0.2">
      <c r="A282" s="56"/>
      <c r="B282" s="56"/>
      <c r="C282" s="56"/>
      <c r="D282" s="47"/>
      <c r="E282" s="47"/>
      <c r="F282" s="56"/>
      <c r="G282" s="56"/>
    </row>
    <row r="283" spans="1:7" x14ac:dyDescent="0.2">
      <c r="A283" s="56"/>
      <c r="B283" s="56"/>
      <c r="C283" s="56"/>
      <c r="D283" s="47"/>
      <c r="E283" s="47"/>
      <c r="F283" s="56"/>
      <c r="G283" s="56"/>
    </row>
    <row r="284" spans="1:7" x14ac:dyDescent="0.2">
      <c r="A284" s="56"/>
      <c r="B284" s="56"/>
      <c r="C284" s="56"/>
      <c r="D284" s="47"/>
      <c r="E284" s="47"/>
      <c r="F284" s="56"/>
      <c r="G284" s="56"/>
    </row>
    <row r="285" spans="1:7" x14ac:dyDescent="0.2">
      <c r="A285" s="56"/>
      <c r="B285" s="56"/>
      <c r="C285" s="56"/>
      <c r="D285" s="47"/>
      <c r="E285" s="47"/>
      <c r="F285" s="56"/>
      <c r="G285" s="56"/>
    </row>
    <row r="286" spans="1:7" x14ac:dyDescent="0.2">
      <c r="A286" s="56"/>
      <c r="B286" s="56"/>
      <c r="C286" s="56"/>
      <c r="D286" s="47"/>
      <c r="E286" s="47"/>
      <c r="F286" s="56"/>
      <c r="G286" s="56"/>
    </row>
    <row r="287" spans="1:7" x14ac:dyDescent="0.2">
      <c r="A287" s="56"/>
      <c r="B287" s="56"/>
      <c r="C287" s="56"/>
      <c r="D287" s="47"/>
      <c r="E287" s="47"/>
      <c r="F287" s="56"/>
      <c r="G287" s="56"/>
    </row>
    <row r="288" spans="1:7" x14ac:dyDescent="0.2">
      <c r="A288" s="56"/>
      <c r="B288" s="56"/>
      <c r="C288" s="56"/>
      <c r="D288" s="47"/>
      <c r="E288" s="47"/>
      <c r="F288" s="56"/>
      <c r="G288" s="56"/>
    </row>
    <row r="289" spans="1:9" x14ac:dyDescent="0.2">
      <c r="A289" s="56"/>
      <c r="B289" s="56"/>
      <c r="C289" s="56"/>
      <c r="D289" s="47"/>
      <c r="E289" s="47"/>
      <c r="F289" s="56"/>
      <c r="G289" s="56"/>
    </row>
    <row r="290" spans="1:9" x14ac:dyDescent="0.2">
      <c r="A290" s="56"/>
      <c r="B290" s="56"/>
      <c r="C290" s="56"/>
      <c r="D290" s="47"/>
      <c r="E290" s="47"/>
      <c r="F290" s="56"/>
      <c r="G290" s="56"/>
    </row>
    <row r="291" spans="1:9" x14ac:dyDescent="0.2">
      <c r="A291" s="56"/>
      <c r="B291" s="56"/>
      <c r="C291" s="56"/>
      <c r="D291" s="47"/>
      <c r="E291" s="47"/>
      <c r="F291" s="56"/>
      <c r="G291" s="56"/>
    </row>
    <row r="292" spans="1:9" x14ac:dyDescent="0.2">
      <c r="A292" s="56"/>
      <c r="B292" s="56"/>
      <c r="C292" s="56"/>
      <c r="D292" s="47"/>
      <c r="E292" s="47"/>
      <c r="F292" s="56"/>
      <c r="G292" s="56"/>
    </row>
    <row r="293" spans="1:9" x14ac:dyDescent="0.2">
      <c r="A293" s="56"/>
      <c r="B293" s="56"/>
      <c r="C293" s="56"/>
      <c r="D293" s="47"/>
      <c r="E293" s="47"/>
      <c r="F293" s="56"/>
      <c r="G293" s="56"/>
    </row>
    <row r="294" spans="1:9" x14ac:dyDescent="0.2">
      <c r="A294" s="56"/>
      <c r="B294" s="56"/>
      <c r="C294" s="56"/>
      <c r="D294" s="47"/>
      <c r="E294" s="47"/>
      <c r="F294" s="56"/>
      <c r="G294" s="56"/>
    </row>
    <row r="295" spans="1:9" x14ac:dyDescent="0.2">
      <c r="A295" s="56"/>
      <c r="B295" s="56"/>
      <c r="C295" s="56"/>
      <c r="D295" s="47"/>
      <c r="E295" s="47"/>
      <c r="F295" s="56"/>
      <c r="G295" s="56"/>
    </row>
    <row r="296" spans="1:9" x14ac:dyDescent="0.2">
      <c r="A296" s="56"/>
      <c r="B296" s="56"/>
      <c r="C296" s="56"/>
      <c r="D296" s="47"/>
      <c r="E296" s="47"/>
      <c r="F296" s="56"/>
      <c r="G296" s="56"/>
    </row>
    <row r="297" spans="1:9" x14ac:dyDescent="0.2">
      <c r="A297" s="56"/>
      <c r="B297" s="56"/>
      <c r="C297" s="56"/>
      <c r="D297" s="47"/>
      <c r="E297" s="47"/>
      <c r="F297" s="56"/>
      <c r="G297" s="56"/>
    </row>
    <row r="298" spans="1:9" x14ac:dyDescent="0.2">
      <c r="A298" s="56"/>
      <c r="B298" s="56"/>
      <c r="C298" s="56"/>
      <c r="D298" s="47"/>
      <c r="E298" s="47"/>
      <c r="F298" s="56"/>
      <c r="G298" s="56"/>
    </row>
    <row r="299" spans="1:9" x14ac:dyDescent="0.2">
      <c r="A299" s="56"/>
      <c r="B299" s="56"/>
      <c r="C299" s="56"/>
      <c r="D299" s="47"/>
      <c r="E299" s="47"/>
      <c r="F299" s="56"/>
      <c r="G299" s="56"/>
    </row>
    <row r="300" spans="1:9" ht="16" thickBot="1" x14ac:dyDescent="0.25">
      <c r="A300" s="64"/>
      <c r="B300" s="64"/>
      <c r="C300" s="64"/>
      <c r="D300" s="49"/>
      <c r="E300" s="49"/>
      <c r="F300" s="64"/>
      <c r="G300" s="64"/>
      <c r="H300" s="48"/>
      <c r="I300" s="48"/>
    </row>
  </sheetData>
  <autoFilter ref="A3:I3" xr:uid="{00000000-0001-0000-0000-000000000000}"/>
  <dataValidations disablePrompts="1" count="1">
    <dataValidation type="list" allowBlank="1" showInputMessage="1" showErrorMessage="1" sqref="I80:I300 I4:I15" xr:uid="{8290626A-E100-2842-8A9E-0D3FCEF18363}">
      <formula1>"Market Price, PPA, Public Utility"</formula1>
    </dataValidation>
  </dataValidations>
  <pageMargins left="0.7" right="0.7" top="0.75" bottom="0.75" header="0.3" footer="0.3"/>
  <pageSetup orientation="portrait" horizontalDpi="300" verticalDpi="300"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0F29C1A-8966-364F-91E3-E15FE573189E}">
          <x14:formula1>
            <xm:f>Definitions!$H$25:$H$31</xm:f>
          </x14:formula1>
          <xm:sqref>H80:H300 H4:H15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8107-0B48-4B4C-BA88-C1A778D125C8}">
  <dimension ref="A1:AY300"/>
  <sheetViews>
    <sheetView showGridLines="0" topLeftCell="Y1" zoomScale="83" zoomScaleNormal="81" workbookViewId="0">
      <selection activeCell="AT20" sqref="AT20"/>
    </sheetView>
  </sheetViews>
  <sheetFormatPr baseColWidth="10" defaultColWidth="8.83203125" defaultRowHeight="15" x14ac:dyDescent="0.2"/>
  <cols>
    <col min="1" max="1" width="32.5" customWidth="1"/>
    <col min="2" max="2" width="9.83203125" bestFit="1" customWidth="1"/>
  </cols>
  <sheetData>
    <row r="1" spans="1:51" ht="47" x14ac:dyDescent="0.55000000000000004">
      <c r="A1" s="41" t="s">
        <v>0</v>
      </c>
      <c r="B1" s="42"/>
      <c r="C1" s="42"/>
      <c r="D1" s="42"/>
      <c r="E1" s="42"/>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row>
    <row r="2" spans="1:51" ht="26" x14ac:dyDescent="0.3">
      <c r="A2" s="43" t="s">
        <v>90</v>
      </c>
      <c r="B2" s="42"/>
      <c r="C2" s="42"/>
      <c r="D2" s="42"/>
      <c r="E2" s="42"/>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row>
    <row r="3" spans="1:51" ht="16" x14ac:dyDescent="0.2">
      <c r="A3" s="51" t="s">
        <v>66</v>
      </c>
      <c r="B3" s="63">
        <f>Definitions!I33</f>
        <v>44197</v>
      </c>
      <c r="C3" s="63">
        <f>IFERROR(IF(EDATE(B3,12)&lt;(Definitions!$I$34+1),EDATE(B3,12),""),"")</f>
        <v>44562</v>
      </c>
      <c r="D3" s="63">
        <f>IFERROR(IF(EDATE(C3,12)&lt;(Definitions!$I$34+1),EDATE(C3,12),""),"")</f>
        <v>44927</v>
      </c>
      <c r="E3" s="63">
        <f>IFERROR(IF(EDATE(D3,12)&lt;(Definitions!$I$34+1),EDATE(D3,12),""),"")</f>
        <v>45292</v>
      </c>
      <c r="F3" s="63">
        <f>IFERROR(IF(EDATE(E3,12)&lt;(Definitions!$I$34+1),EDATE(E3,12),""),"")</f>
        <v>45658</v>
      </c>
      <c r="G3" s="63">
        <f>IFERROR(IF(EDATE(F3,12)&lt;(Definitions!$I$34+1),EDATE(F3,12),""),"")</f>
        <v>46023</v>
      </c>
      <c r="H3" s="63">
        <f>IFERROR(IF(EDATE(G3,12)&lt;(Definitions!$I$34+1),EDATE(G3,12),""),"")</f>
        <v>46388</v>
      </c>
      <c r="I3" s="63">
        <f>IFERROR(IF(EDATE(H3,12)&lt;(Definitions!$I$34+1),EDATE(H3,12),""),"")</f>
        <v>46753</v>
      </c>
      <c r="J3" s="63">
        <f>IFERROR(IF(EDATE(I3,12)&lt;(Definitions!$I$34+1),EDATE(I3,12),""),"")</f>
        <v>47119</v>
      </c>
      <c r="K3" s="63">
        <f>IFERROR(IF(EDATE(J3,12)&lt;(Definitions!$I$34+1),EDATE(J3,12),""),"")</f>
        <v>47484</v>
      </c>
      <c r="L3" s="63">
        <f>IFERROR(IF(EDATE(K3,12)&lt;(Definitions!$I$34+1),EDATE(K3,12),""),"")</f>
        <v>47849</v>
      </c>
      <c r="M3" s="63">
        <f>IFERROR(IF(EDATE(L3,12)&lt;(Definitions!$I$34+1),EDATE(L3,12),""),"")</f>
        <v>48214</v>
      </c>
      <c r="N3" s="63">
        <f>IFERROR(IF(EDATE(M3,12)&lt;(Definitions!$I$34+1),EDATE(M3,12),""),"")</f>
        <v>48580</v>
      </c>
      <c r="O3" s="63">
        <f>IFERROR(IF(EDATE(N3,12)&lt;(Definitions!$I$34+1),EDATE(N3,12),""),"")</f>
        <v>48945</v>
      </c>
      <c r="P3" s="63">
        <f>IFERROR(IF(EDATE(O3,12)&lt;(Definitions!$I$34+1),EDATE(O3,12),""),"")</f>
        <v>49310</v>
      </c>
      <c r="Q3" s="63">
        <f>IFERROR(IF(EDATE(P3,12)&lt;(Definitions!$I$34+1),EDATE(P3,12),""),"")</f>
        <v>49675</v>
      </c>
      <c r="R3" s="63">
        <f>IFERROR(IF(EDATE(Q3,12)&lt;(Definitions!$I$34+1),EDATE(Q3,12),""),"")</f>
        <v>50041</v>
      </c>
      <c r="S3" s="63">
        <f>IFERROR(IF(EDATE(R3,12)&lt;(Definitions!$I$34+1),EDATE(R3,12),""),"")</f>
        <v>50406</v>
      </c>
      <c r="T3" s="63">
        <f>IFERROR(IF(EDATE(S3,12)&lt;(Definitions!$I$34+1),EDATE(S3,12),""),"")</f>
        <v>50771</v>
      </c>
      <c r="U3" s="63">
        <f>IFERROR(IF(EDATE(T3,12)&lt;(Definitions!$I$34+1),EDATE(T3,12),""),"")</f>
        <v>51136</v>
      </c>
      <c r="V3" s="63">
        <f>IFERROR(IF(EDATE(U3,12)&lt;(Definitions!$I$34+1),EDATE(U3,12),""),"")</f>
        <v>51502</v>
      </c>
      <c r="W3" s="63">
        <f>IFERROR(IF(EDATE(V3,12)&lt;(Definitions!$I$34+1),EDATE(V3,12),""),"")</f>
        <v>51867</v>
      </c>
      <c r="X3" s="63">
        <f>IFERROR(IF(EDATE(W3,12)&lt;(Definitions!$I$34+1),EDATE(W3,12),""),"")</f>
        <v>52232</v>
      </c>
      <c r="Y3" s="63">
        <f>IFERROR(IF(EDATE(X3,12)&lt;(Definitions!$I$34+1),EDATE(X3,12),""),"")</f>
        <v>52597</v>
      </c>
      <c r="Z3" s="63">
        <f>IFERROR(IF(EDATE(Y3,12)&lt;(Definitions!$I$34+1),EDATE(Y3,12),""),"")</f>
        <v>52963</v>
      </c>
      <c r="AA3" s="63">
        <f>IFERROR(IF(EDATE(Z3,12)&lt;(Definitions!$I$34+1),EDATE(Z3,12),""),"")</f>
        <v>53328</v>
      </c>
      <c r="AB3" s="63">
        <f>IFERROR(IF(EDATE(AA3,12)&lt;(Definitions!$I$34+1),EDATE(AA3,12),""),"")</f>
        <v>53693</v>
      </c>
      <c r="AC3" s="63">
        <f>IFERROR(IF(EDATE(AB3,12)&lt;(Definitions!$I$34+1),EDATE(AB3,12),""),"")</f>
        <v>54058</v>
      </c>
      <c r="AD3" s="63">
        <f>IFERROR(IF(EDATE(AC3,12)&lt;(Definitions!$I$34+1),EDATE(AC3,12),""),"")</f>
        <v>54424</v>
      </c>
      <c r="AE3" s="63">
        <f>IFERROR(IF(EDATE(AD3,12)&lt;(Definitions!$I$34+1),EDATE(AD3,12),""),"")</f>
        <v>54789</v>
      </c>
      <c r="AF3" s="63">
        <f>IFERROR(IF(EDATE(AE3,12)&lt;(Definitions!$I$34+1),EDATE(AE3,12),""),"")</f>
        <v>55154</v>
      </c>
      <c r="AG3" s="63">
        <f>IFERROR(IF(EDATE(AF3,12)&lt;(Definitions!$I$34+1),EDATE(AF3,12),""),"")</f>
        <v>55519</v>
      </c>
      <c r="AH3" s="63">
        <f>IFERROR(IF(EDATE(AG3,12)&lt;(Definitions!$I$34+1),EDATE(AG3,12),""),"")</f>
        <v>55885</v>
      </c>
      <c r="AI3" s="63">
        <f>IFERROR(IF(EDATE(AH3,12)&lt;(Definitions!$I$34+1),EDATE(AH3,12),""),"")</f>
        <v>56250</v>
      </c>
      <c r="AJ3" s="63">
        <f>IFERROR(IF(EDATE(AI3,12)&lt;(Definitions!$I$34+1),EDATE(AI3,12),""),"")</f>
        <v>56615</v>
      </c>
      <c r="AK3" s="63">
        <f>IFERROR(IF(EDATE(AJ3,12)&lt;(Definitions!$I$34+1),EDATE(AJ3,12),""),"")</f>
        <v>56980</v>
      </c>
      <c r="AL3" s="63">
        <f>IFERROR(IF(EDATE(AK3,12)&lt;(Definitions!$I$34+1),EDATE(AK3,12),""),"")</f>
        <v>57346</v>
      </c>
      <c r="AM3" s="63">
        <f>IFERROR(IF(EDATE(AL3,12)&lt;(Definitions!$I$34+1),EDATE(AL3,12),""),"")</f>
        <v>57711</v>
      </c>
      <c r="AN3" s="63">
        <f>IFERROR(IF(EDATE(AM3,12)&lt;(Definitions!$I$34+1),EDATE(AM3,12),""),"")</f>
        <v>58076</v>
      </c>
      <c r="AO3" s="63">
        <f>IFERROR(IF(EDATE(AN3,12)&lt;(Definitions!$I$34+1),EDATE(AN3,12),""),"")</f>
        <v>58441</v>
      </c>
      <c r="AP3" s="63">
        <f>IFERROR(IF(EDATE(AO3,12)&lt;(Definitions!$I$34+1),EDATE(AO3,12),""),"")</f>
        <v>58807</v>
      </c>
      <c r="AQ3" s="63">
        <f>IFERROR(IF(EDATE(AP3,12)&lt;(Definitions!$I$34+1),EDATE(AP3,12),""),"")</f>
        <v>59172</v>
      </c>
      <c r="AR3" s="63">
        <f>IFERROR(IF(EDATE(AQ3,12)&lt;(Definitions!$I$34+1),EDATE(AQ3,12),""),"")</f>
        <v>59537</v>
      </c>
      <c r="AS3" s="63">
        <f>IFERROR(IF(EDATE(AR3,12)&lt;(Definitions!$I$34+1),EDATE(AR3,12),""),"")</f>
        <v>59902</v>
      </c>
      <c r="AT3" s="63">
        <f>IFERROR(IF(EDATE(AS3,12)&lt;(Definitions!$I$34+1),EDATE(AS3,12),""),"")</f>
        <v>60268</v>
      </c>
      <c r="AU3" s="63">
        <f>IFERROR(IF(EDATE(AT3,12)&lt;(Definitions!$I$34+1),EDATE(AT3,12),""),"")</f>
        <v>60633</v>
      </c>
      <c r="AV3" s="63">
        <f>IFERROR(IF(EDATE(AU3,12)&lt;(Definitions!$I$34+1),EDATE(AU3,12),""),"")</f>
        <v>60998</v>
      </c>
      <c r="AW3" s="63">
        <f>IFERROR(IF(EDATE(AV3,12)&lt;(Definitions!$I$34+1),EDATE(AV3,12),""),"")</f>
        <v>61363</v>
      </c>
      <c r="AX3" s="63">
        <f>IFERROR(IF(EDATE(AW3,12)&lt;(Definitions!$I$34+1),EDATE(AW3,12),""),"")</f>
        <v>61729</v>
      </c>
      <c r="AY3" s="63">
        <f>IFERROR(IF(EDATE(AX3,12)&lt;(Definitions!$I$34+1),EDATE(AX3,12),""),"")</f>
        <v>62094</v>
      </c>
    </row>
    <row r="4" spans="1:51" x14ac:dyDescent="0.2">
      <c r="A4" t="str">
        <f>IF('Plant Data'!A4="","",'Plant Data'!A4)</f>
        <v>MORUPULE A POWER STATION UNIT 1</v>
      </c>
      <c r="B4" s="50">
        <f>('Plant Data'!$C4*0.85*8760)</f>
        <v>434325.18</v>
      </c>
      <c r="C4" s="50">
        <f>('Plant Data'!$C4*0.85*8760)</f>
        <v>434325.18</v>
      </c>
      <c r="D4" s="50">
        <f>('Plant Data'!$C4*0.85*8760)</f>
        <v>434325.18</v>
      </c>
      <c r="E4" s="50">
        <f>('Plant Data'!$C4*0.85*8760)</f>
        <v>434325.18</v>
      </c>
      <c r="F4" s="50">
        <f>('Plant Data'!$C4*0.85*8760)</f>
        <v>434325.18</v>
      </c>
      <c r="G4" s="50">
        <f>('Plant Data'!$C4*0.85*8760)</f>
        <v>434325.18</v>
      </c>
      <c r="H4" s="50">
        <f>('Plant Data'!$C4*0.85*8760)</f>
        <v>434325.18</v>
      </c>
      <c r="I4" s="50">
        <v>0</v>
      </c>
      <c r="J4" s="50">
        <v>0</v>
      </c>
      <c r="K4" s="50">
        <v>0</v>
      </c>
      <c r="L4" s="50">
        <v>0</v>
      </c>
      <c r="M4" s="50">
        <v>0</v>
      </c>
      <c r="N4" s="50">
        <v>0</v>
      </c>
      <c r="O4" s="50">
        <v>0</v>
      </c>
      <c r="P4" s="50">
        <v>0</v>
      </c>
      <c r="Q4" s="50">
        <v>0</v>
      </c>
      <c r="R4" s="50">
        <v>0</v>
      </c>
      <c r="S4" s="50">
        <v>0</v>
      </c>
      <c r="T4" s="50">
        <v>0</v>
      </c>
      <c r="U4" s="50">
        <v>0</v>
      </c>
      <c r="V4" s="50">
        <v>0</v>
      </c>
      <c r="W4" s="50">
        <v>0</v>
      </c>
      <c r="X4" s="50">
        <v>0</v>
      </c>
      <c r="Y4" s="50">
        <v>0</v>
      </c>
      <c r="Z4" s="50">
        <v>0</v>
      </c>
      <c r="AA4" s="50">
        <v>0</v>
      </c>
      <c r="AB4" s="50">
        <v>0</v>
      </c>
      <c r="AC4" s="50">
        <v>0</v>
      </c>
      <c r="AD4" s="50">
        <v>0</v>
      </c>
      <c r="AE4" s="50">
        <v>0</v>
      </c>
      <c r="AF4" s="50">
        <v>0</v>
      </c>
      <c r="AG4" s="50">
        <v>0</v>
      </c>
      <c r="AH4" s="50">
        <v>0</v>
      </c>
      <c r="AI4" s="50">
        <v>0</v>
      </c>
      <c r="AJ4" s="50">
        <v>0</v>
      </c>
      <c r="AK4" s="50">
        <v>0</v>
      </c>
      <c r="AL4" s="50">
        <v>0</v>
      </c>
      <c r="AM4" s="50">
        <v>0</v>
      </c>
      <c r="AN4" s="50">
        <v>0</v>
      </c>
      <c r="AO4" s="50">
        <v>0</v>
      </c>
      <c r="AP4" s="50">
        <v>0</v>
      </c>
      <c r="AQ4" s="50">
        <v>0</v>
      </c>
      <c r="AR4" s="50">
        <v>0</v>
      </c>
      <c r="AS4" s="50">
        <v>0</v>
      </c>
      <c r="AT4" s="50">
        <v>0</v>
      </c>
      <c r="AU4" s="50">
        <v>0</v>
      </c>
      <c r="AV4" s="50">
        <v>0</v>
      </c>
      <c r="AW4" s="50">
        <v>0</v>
      </c>
      <c r="AX4" s="50">
        <v>0</v>
      </c>
      <c r="AY4" s="50">
        <v>0</v>
      </c>
    </row>
    <row r="5" spans="1:51" x14ac:dyDescent="0.2">
      <c r="A5" t="str">
        <f>IF('Plant Data'!A5="","",'Plant Data'!A5)</f>
        <v>MORUPULE A POWER STATION UNIT 2</v>
      </c>
      <c r="B5" s="50">
        <f>('Plant Data'!C5*0.85*8760)</f>
        <v>434325.18</v>
      </c>
      <c r="C5" s="50">
        <f>('Plant Data'!$C5*0.85*8760)</f>
        <v>434325.18</v>
      </c>
      <c r="D5" s="50">
        <f>('Plant Data'!$C5*0.85*8760)</f>
        <v>434325.18</v>
      </c>
      <c r="E5" s="50">
        <f>('Plant Data'!$C5*0.85*8760)</f>
        <v>434325.18</v>
      </c>
      <c r="F5" s="50">
        <f>('Plant Data'!$C5*0.85*8760)</f>
        <v>434325.18</v>
      </c>
      <c r="G5" s="50">
        <f>('Plant Data'!$C5*0.85*8760)</f>
        <v>434325.18</v>
      </c>
      <c r="H5" s="50">
        <f>('Plant Data'!$C5*0.85*8760)</f>
        <v>434325.18</v>
      </c>
      <c r="I5" s="50">
        <v>0</v>
      </c>
      <c r="J5" s="50">
        <v>0</v>
      </c>
      <c r="K5" s="50">
        <v>0</v>
      </c>
      <c r="L5" s="50">
        <v>0</v>
      </c>
      <c r="M5" s="50">
        <v>0</v>
      </c>
      <c r="N5" s="50">
        <v>0</v>
      </c>
      <c r="O5" s="50">
        <v>0</v>
      </c>
      <c r="P5" s="50">
        <v>0</v>
      </c>
      <c r="Q5" s="50">
        <v>0</v>
      </c>
      <c r="R5" s="50">
        <v>0</v>
      </c>
      <c r="S5" s="50">
        <v>0</v>
      </c>
      <c r="T5" s="50">
        <v>0</v>
      </c>
      <c r="U5" s="50">
        <v>0</v>
      </c>
      <c r="V5" s="50">
        <v>0</v>
      </c>
      <c r="W5" s="50">
        <v>0</v>
      </c>
      <c r="X5" s="50">
        <v>0</v>
      </c>
      <c r="Y5" s="50">
        <v>0</v>
      </c>
      <c r="Z5" s="50">
        <v>0</v>
      </c>
      <c r="AA5" s="50">
        <v>0</v>
      </c>
      <c r="AB5" s="50">
        <v>0</v>
      </c>
      <c r="AC5" s="50">
        <v>0</v>
      </c>
      <c r="AD5" s="50">
        <v>0</v>
      </c>
      <c r="AE5" s="50">
        <v>0</v>
      </c>
      <c r="AF5" s="50">
        <v>0</v>
      </c>
      <c r="AG5" s="50">
        <v>0</v>
      </c>
      <c r="AH5" s="50">
        <v>0</v>
      </c>
      <c r="AI5" s="50">
        <v>0</v>
      </c>
      <c r="AJ5" s="50">
        <v>0</v>
      </c>
      <c r="AK5" s="50">
        <v>0</v>
      </c>
      <c r="AL5" s="50">
        <v>0</v>
      </c>
      <c r="AM5" s="50">
        <v>0</v>
      </c>
      <c r="AN5" s="50">
        <v>0</v>
      </c>
      <c r="AO5" s="50">
        <v>0</v>
      </c>
      <c r="AP5" s="50">
        <v>0</v>
      </c>
      <c r="AQ5" s="50">
        <v>0</v>
      </c>
      <c r="AR5" s="50">
        <v>0</v>
      </c>
      <c r="AS5" s="50">
        <v>0</v>
      </c>
      <c r="AT5" s="50">
        <v>0</v>
      </c>
      <c r="AU5" s="50">
        <v>0</v>
      </c>
      <c r="AV5" s="50">
        <v>0</v>
      </c>
      <c r="AW5" s="50">
        <v>0</v>
      </c>
      <c r="AX5" s="50">
        <v>0</v>
      </c>
      <c r="AY5" s="50">
        <v>0</v>
      </c>
    </row>
    <row r="6" spans="1:51" x14ac:dyDescent="0.2">
      <c r="A6" t="str">
        <f>IF('Plant Data'!A6="","",'Plant Data'!A6)</f>
        <v>MORUPULE A POWER STATION UNIT 3</v>
      </c>
      <c r="B6" s="50">
        <f>('Plant Data'!C6*0.85*8760)</f>
        <v>434325.18</v>
      </c>
      <c r="C6" s="50">
        <f>('Plant Data'!$C6*0.85*8760)</f>
        <v>434325.18</v>
      </c>
      <c r="D6" s="50">
        <f>('Plant Data'!$C6*0.85*8760)</f>
        <v>434325.18</v>
      </c>
      <c r="E6" s="50">
        <f>('Plant Data'!$C6*0.85*8760)</f>
        <v>434325.18</v>
      </c>
      <c r="F6" s="50">
        <f>('Plant Data'!$C6*0.85*8760)</f>
        <v>434325.18</v>
      </c>
      <c r="G6" s="50">
        <f>('Plant Data'!$C6*0.85*8760)</f>
        <v>434325.18</v>
      </c>
      <c r="H6" s="50">
        <f>('Plant Data'!$C6*0.85*8760)</f>
        <v>434325.18</v>
      </c>
      <c r="I6" s="50">
        <v>0</v>
      </c>
      <c r="J6" s="50">
        <v>0</v>
      </c>
      <c r="K6" s="50">
        <v>0</v>
      </c>
      <c r="L6" s="50">
        <v>0</v>
      </c>
      <c r="M6" s="50">
        <v>0</v>
      </c>
      <c r="N6" s="50">
        <v>0</v>
      </c>
      <c r="O6" s="50">
        <v>0</v>
      </c>
      <c r="P6" s="50">
        <v>0</v>
      </c>
      <c r="Q6" s="50">
        <v>0</v>
      </c>
      <c r="R6" s="50">
        <v>0</v>
      </c>
      <c r="S6" s="50">
        <v>0</v>
      </c>
      <c r="T6" s="50">
        <v>0</v>
      </c>
      <c r="U6" s="50">
        <v>0</v>
      </c>
      <c r="V6" s="50">
        <v>0</v>
      </c>
      <c r="W6" s="50">
        <v>0</v>
      </c>
      <c r="X6" s="50">
        <v>0</v>
      </c>
      <c r="Y6" s="50">
        <v>0</v>
      </c>
      <c r="Z6" s="50">
        <v>0</v>
      </c>
      <c r="AA6" s="50">
        <v>0</v>
      </c>
      <c r="AB6" s="50">
        <v>0</v>
      </c>
      <c r="AC6" s="50">
        <v>0</v>
      </c>
      <c r="AD6" s="50">
        <v>0</v>
      </c>
      <c r="AE6" s="50">
        <v>0</v>
      </c>
      <c r="AF6" s="50">
        <v>0</v>
      </c>
      <c r="AG6" s="50">
        <v>0</v>
      </c>
      <c r="AH6" s="50">
        <v>0</v>
      </c>
      <c r="AI6" s="50">
        <v>0</v>
      </c>
      <c r="AJ6" s="50">
        <v>0</v>
      </c>
      <c r="AK6" s="50">
        <v>0</v>
      </c>
      <c r="AL6" s="50">
        <v>0</v>
      </c>
      <c r="AM6" s="50">
        <v>0</v>
      </c>
      <c r="AN6" s="50">
        <v>0</v>
      </c>
      <c r="AO6" s="50">
        <v>0</v>
      </c>
      <c r="AP6" s="50">
        <v>0</v>
      </c>
      <c r="AQ6" s="50">
        <v>0</v>
      </c>
      <c r="AR6" s="50">
        <v>0</v>
      </c>
      <c r="AS6" s="50">
        <v>0</v>
      </c>
      <c r="AT6" s="50">
        <v>0</v>
      </c>
      <c r="AU6" s="50">
        <v>0</v>
      </c>
      <c r="AV6" s="50">
        <v>0</v>
      </c>
      <c r="AW6" s="50">
        <v>0</v>
      </c>
      <c r="AX6" s="50">
        <v>0</v>
      </c>
      <c r="AY6" s="50">
        <v>0</v>
      </c>
    </row>
    <row r="7" spans="1:51" x14ac:dyDescent="0.2">
      <c r="A7" t="str">
        <f>IF('Plant Data'!A7="","",'Plant Data'!A7)</f>
        <v>MORUPULE A POWER STATION UNIT 4</v>
      </c>
      <c r="B7" s="50">
        <f>('Plant Data'!C7*0.85*8760)</f>
        <v>434325.18</v>
      </c>
      <c r="C7" s="50">
        <f>('Plant Data'!$C7*0.85*8760)</f>
        <v>434325.18</v>
      </c>
      <c r="D7" s="50">
        <f>('Plant Data'!$C7*0.85*8760)</f>
        <v>434325.18</v>
      </c>
      <c r="E7" s="50">
        <f>('Plant Data'!$C7*0.85*8760)</f>
        <v>434325.18</v>
      </c>
      <c r="F7" s="50">
        <f>('Plant Data'!$C7*0.85*8760)</f>
        <v>434325.18</v>
      </c>
      <c r="G7" s="50">
        <f>('Plant Data'!$C7*0.85*8760)</f>
        <v>434325.18</v>
      </c>
      <c r="H7" s="50">
        <f>('Plant Data'!$C7*0.85*8760)</f>
        <v>434325.18</v>
      </c>
      <c r="I7" s="50">
        <v>0</v>
      </c>
      <c r="J7" s="50">
        <v>0</v>
      </c>
      <c r="K7" s="50">
        <v>0</v>
      </c>
      <c r="L7" s="50">
        <v>0</v>
      </c>
      <c r="M7" s="50">
        <v>0</v>
      </c>
      <c r="N7" s="50">
        <v>0</v>
      </c>
      <c r="O7" s="50">
        <v>0</v>
      </c>
      <c r="P7" s="50">
        <v>0</v>
      </c>
      <c r="Q7" s="50">
        <v>0</v>
      </c>
      <c r="R7" s="50">
        <v>0</v>
      </c>
      <c r="S7" s="50">
        <v>0</v>
      </c>
      <c r="T7" s="50">
        <v>0</v>
      </c>
      <c r="U7" s="50">
        <v>0</v>
      </c>
      <c r="V7" s="50">
        <v>0</v>
      </c>
      <c r="W7" s="50">
        <v>0</v>
      </c>
      <c r="X7" s="50">
        <v>0</v>
      </c>
      <c r="Y7" s="50">
        <v>0</v>
      </c>
      <c r="Z7" s="50">
        <v>0</v>
      </c>
      <c r="AA7" s="50">
        <v>0</v>
      </c>
      <c r="AB7" s="50">
        <v>0</v>
      </c>
      <c r="AC7" s="50">
        <v>0</v>
      </c>
      <c r="AD7" s="50">
        <v>0</v>
      </c>
      <c r="AE7" s="50">
        <v>0</v>
      </c>
      <c r="AF7" s="50">
        <v>0</v>
      </c>
      <c r="AG7" s="50">
        <v>0</v>
      </c>
      <c r="AH7" s="50">
        <v>0</v>
      </c>
      <c r="AI7" s="50">
        <v>0</v>
      </c>
      <c r="AJ7" s="50">
        <v>0</v>
      </c>
      <c r="AK7" s="50">
        <v>0</v>
      </c>
      <c r="AL7" s="50">
        <v>0</v>
      </c>
      <c r="AM7" s="50">
        <v>0</v>
      </c>
      <c r="AN7" s="50">
        <v>0</v>
      </c>
      <c r="AO7" s="50">
        <v>0</v>
      </c>
      <c r="AP7" s="50">
        <v>0</v>
      </c>
      <c r="AQ7" s="50">
        <v>0</v>
      </c>
      <c r="AR7" s="50">
        <v>0</v>
      </c>
      <c r="AS7" s="50">
        <v>0</v>
      </c>
      <c r="AT7" s="50">
        <v>0</v>
      </c>
      <c r="AU7" s="50">
        <v>0</v>
      </c>
      <c r="AV7" s="50">
        <v>0</v>
      </c>
      <c r="AW7" s="50">
        <v>0</v>
      </c>
      <c r="AX7" s="50">
        <v>0</v>
      </c>
      <c r="AY7" s="50">
        <v>0</v>
      </c>
    </row>
    <row r="8" spans="1:51" x14ac:dyDescent="0.2">
      <c r="A8" t="str">
        <f>IF('Plant Data'!A8="","",'Plant Data'!A8)</f>
        <v>MORUPULE B POWER STATION UNIT 1</v>
      </c>
      <c r="B8" s="50">
        <f>('Plant Data'!C8*0.85*8760)</f>
        <v>434325.18</v>
      </c>
      <c r="C8" s="50">
        <f>('Plant Data'!$C8*0.85*8760)</f>
        <v>434325.18</v>
      </c>
      <c r="D8" s="50">
        <f>('Plant Data'!$C8*0.85*8760)</f>
        <v>434325.18</v>
      </c>
      <c r="E8" s="50">
        <f>('Plant Data'!$C8*0.85*8760)</f>
        <v>434325.18</v>
      </c>
      <c r="F8" s="50">
        <f>('Plant Data'!$C8*0.85*8760)</f>
        <v>434325.18</v>
      </c>
      <c r="G8" s="50">
        <f>('Plant Data'!$C8*0.85*8760)</f>
        <v>434325.18</v>
      </c>
      <c r="H8" s="50">
        <f>('Plant Data'!$C8*0.85*8760)</f>
        <v>434325.18</v>
      </c>
      <c r="I8" s="50">
        <f>('Plant Data'!$C8*0.85*8760)</f>
        <v>434325.18</v>
      </c>
      <c r="J8" s="50">
        <f>('Plant Data'!$C8*0.85*8760)</f>
        <v>434325.18</v>
      </c>
      <c r="K8" s="50">
        <f>('Plant Data'!$C8*0.85*8760)</f>
        <v>434325.18</v>
      </c>
      <c r="L8" s="50">
        <f>('Plant Data'!$C8*0.85*8760)</f>
        <v>434325.18</v>
      </c>
      <c r="M8" s="50">
        <f>('Plant Data'!$C8*0.85*8760)</f>
        <v>434325.18</v>
      </c>
      <c r="N8" s="50">
        <f>('Plant Data'!$C8*0.85*8760)</f>
        <v>434325.18</v>
      </c>
      <c r="O8" s="50">
        <f>('Plant Data'!$C8*0.85*8760)</f>
        <v>434325.18</v>
      </c>
      <c r="P8" s="50">
        <f>('Plant Data'!$C8*0.85*8760)</f>
        <v>434325.18</v>
      </c>
      <c r="Q8" s="50">
        <f>('Plant Data'!$C8*0.85*8760)</f>
        <v>434325.18</v>
      </c>
      <c r="R8" s="50">
        <f>('Plant Data'!$C8*0.85*8760)</f>
        <v>434325.18</v>
      </c>
      <c r="S8" s="50">
        <f>('Plant Data'!$C8*0.85*8760)</f>
        <v>434325.18</v>
      </c>
      <c r="T8" s="50">
        <f>('Plant Data'!$C8*0.85*8760)</f>
        <v>434325.18</v>
      </c>
      <c r="U8" s="50">
        <f>('Plant Data'!$C8*0.85*8760)</f>
        <v>434325.18</v>
      </c>
      <c r="V8" s="50">
        <f>('Plant Data'!$C8*0.85*8760)</f>
        <v>434325.18</v>
      </c>
      <c r="W8" s="50">
        <f>('Plant Data'!$C8*0.85*8760)</f>
        <v>434325.18</v>
      </c>
      <c r="X8" s="50">
        <f>('Plant Data'!$C8*0.85*8760)</f>
        <v>434325.18</v>
      </c>
      <c r="Y8" s="50">
        <f>('Plant Data'!$C8*0.85*8760)</f>
        <v>434325.18</v>
      </c>
      <c r="Z8" s="50">
        <f>('Plant Data'!$C8*0.85*8760)</f>
        <v>434325.18</v>
      </c>
      <c r="AA8" s="50">
        <f>('Plant Data'!$C8*0.85*8760)</f>
        <v>434325.18</v>
      </c>
      <c r="AB8" s="50">
        <f>('Plant Data'!$C8*0.85*8760)</f>
        <v>434325.18</v>
      </c>
      <c r="AC8" s="50">
        <f>('Plant Data'!$C8*0.85*8760)</f>
        <v>434325.18</v>
      </c>
      <c r="AD8" s="50">
        <f>('Plant Data'!$C8*0.85*8760)</f>
        <v>434325.18</v>
      </c>
      <c r="AE8" s="50">
        <f>('Plant Data'!$C8*0.85*8760)</f>
        <v>434325.18</v>
      </c>
      <c r="AF8" s="50">
        <f>('Plant Data'!AG8*0.85*8760)</f>
        <v>0</v>
      </c>
      <c r="AG8" s="50">
        <f>('Plant Data'!AH8*0.85*8760)</f>
        <v>0</v>
      </c>
      <c r="AH8" s="50">
        <f>('Plant Data'!AI8*0.85*8760)</f>
        <v>0</v>
      </c>
      <c r="AI8" s="50">
        <f>('Plant Data'!AJ8*0.85*8760)</f>
        <v>0</v>
      </c>
      <c r="AJ8" s="50">
        <f>('Plant Data'!AK8*0.85*8760)</f>
        <v>0</v>
      </c>
      <c r="AK8" s="50">
        <f>('Plant Data'!AL8*0.85*8760)</f>
        <v>0</v>
      </c>
      <c r="AL8" s="50">
        <f>('Plant Data'!AM8*0.85*8760)</f>
        <v>0</v>
      </c>
      <c r="AM8" s="50">
        <f>('Plant Data'!AN8*0.85*8760)</f>
        <v>0</v>
      </c>
      <c r="AN8" s="50">
        <f>('Plant Data'!AO8*0.85*8760)</f>
        <v>0</v>
      </c>
      <c r="AO8" s="50">
        <f>('Plant Data'!AP8*0.85*8760)</f>
        <v>0</v>
      </c>
      <c r="AP8" s="50">
        <f>('Plant Data'!AQ8*0.85*8760)</f>
        <v>0</v>
      </c>
      <c r="AQ8" s="50">
        <f>('Plant Data'!AR8*0.85*8760)</f>
        <v>0</v>
      </c>
      <c r="AR8" s="50">
        <f>('Plant Data'!AS8*0.85*8760)</f>
        <v>0</v>
      </c>
      <c r="AS8" s="50">
        <f>('Plant Data'!AT8*0.85*8760)</f>
        <v>0</v>
      </c>
      <c r="AT8" s="50">
        <f>('Plant Data'!AU8*0.85*8760)</f>
        <v>0</v>
      </c>
      <c r="AU8" s="50">
        <f>('Plant Data'!AV8*0.85*8760)</f>
        <v>0</v>
      </c>
      <c r="AV8" s="50">
        <f>('Plant Data'!AW8*0.85*8760)</f>
        <v>0</v>
      </c>
      <c r="AW8" s="50">
        <f>('Plant Data'!AX8*0.85*8760)</f>
        <v>0</v>
      </c>
      <c r="AX8" s="50">
        <f>('Plant Data'!AY8*0.85*8760)</f>
        <v>0</v>
      </c>
      <c r="AY8" s="50">
        <f>('Plant Data'!AZ8*0.85*8760)</f>
        <v>0</v>
      </c>
    </row>
    <row r="9" spans="1:51" x14ac:dyDescent="0.2">
      <c r="A9" t="str">
        <f>IF('Plant Data'!A9="","",'Plant Data'!A9)</f>
        <v>MORUPULE B POWER STATION UNIT 2</v>
      </c>
      <c r="B9" s="50">
        <f>('Plant Data'!C9*0.85*8760)</f>
        <v>434325.18</v>
      </c>
      <c r="C9" s="50">
        <f>('Plant Data'!$C9*0.85*8760)</f>
        <v>434325.18</v>
      </c>
      <c r="D9" s="50">
        <f>('Plant Data'!$C9*0.85*8760)</f>
        <v>434325.18</v>
      </c>
      <c r="E9" s="50">
        <f>('Plant Data'!$C9*0.85*8760)</f>
        <v>434325.18</v>
      </c>
      <c r="F9" s="50">
        <f>('Plant Data'!$C9*0.85*8760)</f>
        <v>434325.18</v>
      </c>
      <c r="G9" s="50">
        <f>('Plant Data'!$C9*0.85*8760)</f>
        <v>434325.18</v>
      </c>
      <c r="H9" s="50">
        <f>('Plant Data'!$C9*0.85*8760)</f>
        <v>434325.18</v>
      </c>
      <c r="I9" s="50">
        <f>('Plant Data'!$C9*0.85*8760)</f>
        <v>434325.18</v>
      </c>
      <c r="J9" s="50">
        <f>('Plant Data'!$C9*0.85*8760)</f>
        <v>434325.18</v>
      </c>
      <c r="K9" s="50">
        <f>('Plant Data'!$C9*0.85*8760)</f>
        <v>434325.18</v>
      </c>
      <c r="L9" s="50">
        <f>('Plant Data'!$C9*0.85*8760)</f>
        <v>434325.18</v>
      </c>
      <c r="M9" s="50">
        <f>('Plant Data'!$C9*0.85*8760)</f>
        <v>434325.18</v>
      </c>
      <c r="N9" s="50">
        <f>('Plant Data'!$C9*0.85*8760)</f>
        <v>434325.18</v>
      </c>
      <c r="O9" s="50">
        <f>('Plant Data'!$C9*0.85*8760)</f>
        <v>434325.18</v>
      </c>
      <c r="P9" s="50">
        <f>('Plant Data'!$C9*0.85*8760)</f>
        <v>434325.18</v>
      </c>
      <c r="Q9" s="50">
        <f>('Plant Data'!$C9*0.85*8760)</f>
        <v>434325.18</v>
      </c>
      <c r="R9" s="50">
        <f>('Plant Data'!$C9*0.85*8760)</f>
        <v>434325.18</v>
      </c>
      <c r="S9" s="50">
        <f>('Plant Data'!$C9*0.85*8760)</f>
        <v>434325.18</v>
      </c>
      <c r="T9" s="50">
        <f>('Plant Data'!$C9*0.85*8760)</f>
        <v>434325.18</v>
      </c>
      <c r="U9" s="50">
        <f>('Plant Data'!$C9*0.85*8760)</f>
        <v>434325.18</v>
      </c>
      <c r="V9" s="50">
        <f>('Plant Data'!$C9*0.85*8760)</f>
        <v>434325.18</v>
      </c>
      <c r="W9" s="50">
        <f>('Plant Data'!$C9*0.85*8760)</f>
        <v>434325.18</v>
      </c>
      <c r="X9" s="50">
        <f>('Plant Data'!$C9*0.85*8760)</f>
        <v>434325.18</v>
      </c>
      <c r="Y9" s="50">
        <f>('Plant Data'!$C9*0.85*8760)</f>
        <v>434325.18</v>
      </c>
      <c r="Z9" s="50">
        <f>('Plant Data'!$C9*0.85*8760)</f>
        <v>434325.18</v>
      </c>
      <c r="AA9" s="50">
        <f>('Plant Data'!$C9*0.85*8760)</f>
        <v>434325.18</v>
      </c>
      <c r="AB9" s="50">
        <f>('Plant Data'!$C9*0.85*8760)</f>
        <v>434325.18</v>
      </c>
      <c r="AC9" s="50">
        <f>('Plant Data'!$C9*0.85*8760)</f>
        <v>434325.18</v>
      </c>
      <c r="AD9" s="50">
        <f>('Plant Data'!$C9*0.85*8760)</f>
        <v>434325.18</v>
      </c>
      <c r="AE9" s="50">
        <f>('Plant Data'!$C9*0.85*8760)</f>
        <v>434325.18</v>
      </c>
      <c r="AF9" s="50">
        <f>('Plant Data'!AG9*0.85*8760)</f>
        <v>0</v>
      </c>
      <c r="AG9" s="50">
        <f>('Plant Data'!AH9*0.85*8760)</f>
        <v>0</v>
      </c>
      <c r="AH9" s="50">
        <f>('Plant Data'!AI9*0.85*8760)</f>
        <v>0</v>
      </c>
      <c r="AI9" s="50">
        <f>('Plant Data'!AJ9*0.85*8760)</f>
        <v>0</v>
      </c>
      <c r="AJ9" s="50">
        <f>('Plant Data'!AK9*0.85*8760)</f>
        <v>0</v>
      </c>
      <c r="AK9" s="50">
        <f>('Plant Data'!AL9*0.85*8760)</f>
        <v>0</v>
      </c>
      <c r="AL9" s="50">
        <f>('Plant Data'!AM9*0.85*8760)</f>
        <v>0</v>
      </c>
      <c r="AM9" s="50">
        <f>('Plant Data'!AN9*0.85*8760)</f>
        <v>0</v>
      </c>
      <c r="AN9" s="50">
        <f>('Plant Data'!AO9*0.85*8760)</f>
        <v>0</v>
      </c>
      <c r="AO9" s="50">
        <f>('Plant Data'!AP9*0.85*8760)</f>
        <v>0</v>
      </c>
      <c r="AP9" s="50">
        <f>('Plant Data'!AQ9*0.85*8760)</f>
        <v>0</v>
      </c>
      <c r="AQ9" s="50">
        <f>('Plant Data'!AR9*0.85*8760)</f>
        <v>0</v>
      </c>
      <c r="AR9" s="50">
        <f>('Plant Data'!AS9*0.85*8760)</f>
        <v>0</v>
      </c>
      <c r="AS9" s="50">
        <f>('Plant Data'!AT9*0.85*8760)</f>
        <v>0</v>
      </c>
      <c r="AT9" s="50">
        <f>('Plant Data'!AU9*0.85*8760)</f>
        <v>0</v>
      </c>
      <c r="AU9" s="50">
        <f>('Plant Data'!AV9*0.85*8760)</f>
        <v>0</v>
      </c>
      <c r="AV9" s="50">
        <f>('Plant Data'!AW9*0.85*8760)</f>
        <v>0</v>
      </c>
      <c r="AW9" s="50">
        <f>('Plant Data'!AX9*0.85*8760)</f>
        <v>0</v>
      </c>
      <c r="AX9" s="50">
        <f>('Plant Data'!AY9*0.85*8760)</f>
        <v>0</v>
      </c>
      <c r="AY9" s="50">
        <f>('Plant Data'!AZ9*0.85*8760)</f>
        <v>0</v>
      </c>
    </row>
    <row r="10" spans="1:51" x14ac:dyDescent="0.2">
      <c r="A10" t="str">
        <f>IF('Plant Data'!A10="","",'Plant Data'!A10)</f>
        <v>MORUPULE B POWER STATION UNIT 3</v>
      </c>
      <c r="B10" s="50">
        <f>('Plant Data'!C10*0.85*8760)</f>
        <v>434325.18</v>
      </c>
      <c r="C10" s="50">
        <f>('Plant Data'!$C10*0.85*8760)</f>
        <v>434325.18</v>
      </c>
      <c r="D10" s="50">
        <f>('Plant Data'!$C10*0.85*8760)</f>
        <v>434325.18</v>
      </c>
      <c r="E10" s="50">
        <f>('Plant Data'!$C10*0.85*8760)</f>
        <v>434325.18</v>
      </c>
      <c r="F10" s="50">
        <f>('Plant Data'!$C10*0.85*8760)</f>
        <v>434325.18</v>
      </c>
      <c r="G10" s="50">
        <f>('Plant Data'!$C10*0.85*8760)</f>
        <v>434325.18</v>
      </c>
      <c r="H10" s="50">
        <f>('Plant Data'!$C10*0.85*8760)</f>
        <v>434325.18</v>
      </c>
      <c r="I10" s="50">
        <f>('Plant Data'!$C10*0.85*8760)</f>
        <v>434325.18</v>
      </c>
      <c r="J10" s="50">
        <f>('Plant Data'!$C10*0.85*8760)</f>
        <v>434325.18</v>
      </c>
      <c r="K10" s="50">
        <f>('Plant Data'!$C10*0.85*8760)</f>
        <v>434325.18</v>
      </c>
      <c r="L10" s="50">
        <f>('Plant Data'!$C10*0.85*8760)</f>
        <v>434325.18</v>
      </c>
      <c r="M10" s="50">
        <f>('Plant Data'!$C10*0.85*8760)</f>
        <v>434325.18</v>
      </c>
      <c r="N10" s="50">
        <f>('Plant Data'!$C10*0.85*8760)</f>
        <v>434325.18</v>
      </c>
      <c r="O10" s="50">
        <f>('Plant Data'!$C10*0.85*8760)</f>
        <v>434325.18</v>
      </c>
      <c r="P10" s="50">
        <f>('Plant Data'!$C10*0.85*8760)</f>
        <v>434325.18</v>
      </c>
      <c r="Q10" s="50">
        <f>('Plant Data'!$C10*0.85*8760)</f>
        <v>434325.18</v>
      </c>
      <c r="R10" s="50">
        <f>('Plant Data'!$C10*0.85*8760)</f>
        <v>434325.18</v>
      </c>
      <c r="S10" s="50">
        <f>('Plant Data'!$C10*0.85*8760)</f>
        <v>434325.18</v>
      </c>
      <c r="T10" s="50">
        <f>('Plant Data'!$C10*0.85*8760)</f>
        <v>434325.18</v>
      </c>
      <c r="U10" s="50">
        <f>('Plant Data'!$C10*0.85*8760)</f>
        <v>434325.18</v>
      </c>
      <c r="V10" s="50">
        <f>('Plant Data'!$C10*0.85*8760)</f>
        <v>434325.18</v>
      </c>
      <c r="W10" s="50">
        <f>('Plant Data'!$C10*0.85*8760)</f>
        <v>434325.18</v>
      </c>
      <c r="X10" s="50">
        <f>('Plant Data'!$C10*0.85*8760)</f>
        <v>434325.18</v>
      </c>
      <c r="Y10" s="50">
        <f>('Plant Data'!$C10*0.85*8760)</f>
        <v>434325.18</v>
      </c>
      <c r="Z10" s="50">
        <f>('Plant Data'!$C10*0.85*8760)</f>
        <v>434325.18</v>
      </c>
      <c r="AA10" s="50">
        <f>('Plant Data'!$C10*0.85*8760)</f>
        <v>434325.18</v>
      </c>
      <c r="AB10" s="50">
        <f>('Plant Data'!$C10*0.85*8760)</f>
        <v>434325.18</v>
      </c>
      <c r="AC10" s="50">
        <f>('Plant Data'!$C10*0.85*8760)</f>
        <v>434325.18</v>
      </c>
      <c r="AD10" s="50">
        <f>('Plant Data'!$C10*0.85*8760)</f>
        <v>434325.18</v>
      </c>
      <c r="AE10" s="50">
        <f>('Plant Data'!$C10*0.85*8760)</f>
        <v>434325.18</v>
      </c>
      <c r="AF10" s="50">
        <f>('Plant Data'!AG10*0.85*8760)</f>
        <v>0</v>
      </c>
      <c r="AG10" s="50">
        <f>('Plant Data'!AH10*0.85*8760)</f>
        <v>0</v>
      </c>
      <c r="AH10" s="50">
        <f>('Plant Data'!AI10*0.85*8760)</f>
        <v>0</v>
      </c>
      <c r="AI10" s="50">
        <f>('Plant Data'!AJ10*0.85*8760)</f>
        <v>0</v>
      </c>
      <c r="AJ10" s="50">
        <f>('Plant Data'!AK10*0.85*8760)</f>
        <v>0</v>
      </c>
      <c r="AK10" s="50">
        <f>('Plant Data'!AL10*0.85*8760)</f>
        <v>0</v>
      </c>
      <c r="AL10" s="50">
        <f>('Plant Data'!AM10*0.85*8760)</f>
        <v>0</v>
      </c>
      <c r="AM10" s="50">
        <f>('Plant Data'!AN10*0.85*8760)</f>
        <v>0</v>
      </c>
      <c r="AN10" s="50">
        <f>('Plant Data'!AO10*0.85*8760)</f>
        <v>0</v>
      </c>
      <c r="AO10" s="50">
        <f>('Plant Data'!AP10*0.85*8760)</f>
        <v>0</v>
      </c>
      <c r="AP10" s="50">
        <f>('Plant Data'!AQ10*0.85*8760)</f>
        <v>0</v>
      </c>
      <c r="AQ10" s="50">
        <f>('Plant Data'!AR10*0.85*8760)</f>
        <v>0</v>
      </c>
      <c r="AR10" s="50">
        <f>('Plant Data'!AS10*0.85*8760)</f>
        <v>0</v>
      </c>
      <c r="AS10" s="50">
        <f>('Plant Data'!AT10*0.85*8760)</f>
        <v>0</v>
      </c>
      <c r="AT10" s="50">
        <f>('Plant Data'!AU10*0.85*8760)</f>
        <v>0</v>
      </c>
      <c r="AU10" s="50">
        <f>('Plant Data'!AV10*0.85*8760)</f>
        <v>0</v>
      </c>
      <c r="AV10" s="50">
        <f>('Plant Data'!AW10*0.85*8760)</f>
        <v>0</v>
      </c>
      <c r="AW10" s="50">
        <f>('Plant Data'!AX10*0.85*8760)</f>
        <v>0</v>
      </c>
      <c r="AX10" s="50">
        <f>('Plant Data'!AY10*0.85*8760)</f>
        <v>0</v>
      </c>
      <c r="AY10" s="50">
        <f>('Plant Data'!AZ10*0.85*8760)</f>
        <v>0</v>
      </c>
    </row>
    <row r="11" spans="1:51" x14ac:dyDescent="0.2">
      <c r="A11" t="str">
        <f>IF('Plant Data'!A11="","",'Plant Data'!A11)</f>
        <v>MORUPULE B POWER STATION UNIT 4</v>
      </c>
      <c r="B11" s="50">
        <f>('Plant Data'!C11*0.85*8760)</f>
        <v>434325.18</v>
      </c>
      <c r="C11" s="50">
        <f>('Plant Data'!$C11*0.85*8760)</f>
        <v>434325.18</v>
      </c>
      <c r="D11" s="50">
        <f>('Plant Data'!$C11*0.85*8760)</f>
        <v>434325.18</v>
      </c>
      <c r="E11" s="50">
        <f>('Plant Data'!$C11*0.85*8760)</f>
        <v>434325.18</v>
      </c>
      <c r="F11" s="50">
        <f>('Plant Data'!$C11*0.85*8760)</f>
        <v>434325.18</v>
      </c>
      <c r="G11" s="50">
        <f>('Plant Data'!$C11*0.85*8760)</f>
        <v>434325.18</v>
      </c>
      <c r="H11" s="50">
        <f>('Plant Data'!$C11*0.85*8760)</f>
        <v>434325.18</v>
      </c>
      <c r="I11" s="50">
        <f>('Plant Data'!$C11*0.85*8760)</f>
        <v>434325.18</v>
      </c>
      <c r="J11" s="50">
        <f>('Plant Data'!$C11*0.85*8760)</f>
        <v>434325.18</v>
      </c>
      <c r="K11" s="50">
        <f>('Plant Data'!$C11*0.85*8760)</f>
        <v>434325.18</v>
      </c>
      <c r="L11" s="50">
        <f>('Plant Data'!$C11*0.85*8760)</f>
        <v>434325.18</v>
      </c>
      <c r="M11" s="50">
        <f>('Plant Data'!$C11*0.85*8760)</f>
        <v>434325.18</v>
      </c>
      <c r="N11" s="50">
        <f>('Plant Data'!$C11*0.85*8760)</f>
        <v>434325.18</v>
      </c>
      <c r="O11" s="50">
        <f>('Plant Data'!$C11*0.85*8760)</f>
        <v>434325.18</v>
      </c>
      <c r="P11" s="50">
        <f>('Plant Data'!$C11*0.85*8760)</f>
        <v>434325.18</v>
      </c>
      <c r="Q11" s="50">
        <f>('Plant Data'!$C11*0.85*8760)</f>
        <v>434325.18</v>
      </c>
      <c r="R11" s="50">
        <f>('Plant Data'!$C11*0.85*8760)</f>
        <v>434325.18</v>
      </c>
      <c r="S11" s="50">
        <f>('Plant Data'!$C11*0.85*8760)</f>
        <v>434325.18</v>
      </c>
      <c r="T11" s="50">
        <f>('Plant Data'!$C11*0.85*8760)</f>
        <v>434325.18</v>
      </c>
      <c r="U11" s="50">
        <f>('Plant Data'!$C11*0.85*8760)</f>
        <v>434325.18</v>
      </c>
      <c r="V11" s="50">
        <f>('Plant Data'!$C11*0.85*8760)</f>
        <v>434325.18</v>
      </c>
      <c r="W11" s="50">
        <f>('Plant Data'!$C11*0.85*8760)</f>
        <v>434325.18</v>
      </c>
      <c r="X11" s="50">
        <f>('Plant Data'!$C11*0.85*8760)</f>
        <v>434325.18</v>
      </c>
      <c r="Y11" s="50">
        <f>('Plant Data'!$C11*0.85*8760)</f>
        <v>434325.18</v>
      </c>
      <c r="Z11" s="50">
        <f>('Plant Data'!$C11*0.85*8760)</f>
        <v>434325.18</v>
      </c>
      <c r="AA11" s="50">
        <f>('Plant Data'!$C11*0.85*8760)</f>
        <v>434325.18</v>
      </c>
      <c r="AB11" s="50">
        <f>('Plant Data'!$C11*0.85*8760)</f>
        <v>434325.18</v>
      </c>
      <c r="AC11" s="50">
        <f>('Plant Data'!$C11*0.85*8760)</f>
        <v>434325.18</v>
      </c>
      <c r="AD11" s="50">
        <f>('Plant Data'!$C11*0.85*8760)</f>
        <v>434325.18</v>
      </c>
      <c r="AE11" s="50">
        <f>('Plant Data'!$C11*0.85*8760)</f>
        <v>434325.18</v>
      </c>
      <c r="AF11" s="50">
        <f>('Plant Data'!AG11*0.85*8760)</f>
        <v>0</v>
      </c>
      <c r="AG11" s="50">
        <f>('Plant Data'!AH11*0.85*8760)</f>
        <v>0</v>
      </c>
      <c r="AH11" s="50">
        <f>('Plant Data'!AI11*0.85*8760)</f>
        <v>0</v>
      </c>
      <c r="AI11" s="50">
        <f>('Plant Data'!AJ11*0.85*8760)</f>
        <v>0</v>
      </c>
      <c r="AJ11" s="50">
        <f>('Plant Data'!AK11*0.85*8760)</f>
        <v>0</v>
      </c>
      <c r="AK11" s="50">
        <f>('Plant Data'!AL11*0.85*8760)</f>
        <v>0</v>
      </c>
      <c r="AL11" s="50">
        <f>('Plant Data'!AM11*0.85*8760)</f>
        <v>0</v>
      </c>
      <c r="AM11" s="50">
        <f>('Plant Data'!AN11*0.85*8760)</f>
        <v>0</v>
      </c>
      <c r="AN11" s="50">
        <f>('Plant Data'!AO11*0.85*8760)</f>
        <v>0</v>
      </c>
      <c r="AO11" s="50">
        <f>('Plant Data'!AP11*0.85*8760)</f>
        <v>0</v>
      </c>
      <c r="AP11" s="50">
        <f>('Plant Data'!AQ11*0.85*8760)</f>
        <v>0</v>
      </c>
      <c r="AQ11" s="50">
        <f>('Plant Data'!AR11*0.85*8760)</f>
        <v>0</v>
      </c>
      <c r="AR11" s="50">
        <f>('Plant Data'!AS11*0.85*8760)</f>
        <v>0</v>
      </c>
      <c r="AS11" s="50">
        <f>('Plant Data'!AT11*0.85*8760)</f>
        <v>0</v>
      </c>
      <c r="AT11" s="50">
        <f>('Plant Data'!AU11*0.85*8760)</f>
        <v>0</v>
      </c>
      <c r="AU11" s="50">
        <f>('Plant Data'!AV11*0.85*8760)</f>
        <v>0</v>
      </c>
      <c r="AV11" s="50">
        <f>('Plant Data'!AW11*0.85*8760)</f>
        <v>0</v>
      </c>
      <c r="AW11" s="50">
        <f>('Plant Data'!AX11*0.85*8760)</f>
        <v>0</v>
      </c>
      <c r="AX11" s="50">
        <f>('Plant Data'!AY11*0.85*8760)</f>
        <v>0</v>
      </c>
      <c r="AY11" s="50">
        <f>('Plant Data'!AZ11*0.85*8760)</f>
        <v>0</v>
      </c>
    </row>
    <row r="16" spans="1:51" x14ac:dyDescent="0.2">
      <c r="A16" t="str">
        <f>IF('Plant Data'!A16="","",'Plant Data'!A16)</f>
        <v/>
      </c>
    </row>
    <row r="17" spans="1:1" x14ac:dyDescent="0.2">
      <c r="A17" t="str">
        <f>IF('Plant Data'!A17="","",'Plant Data'!A17)</f>
        <v/>
      </c>
    </row>
    <row r="18" spans="1:1" x14ac:dyDescent="0.2">
      <c r="A18" t="str">
        <f>IF('Plant Data'!A18="","",'Plant Data'!A18)</f>
        <v/>
      </c>
    </row>
    <row r="19" spans="1:1" x14ac:dyDescent="0.2">
      <c r="A19" t="str">
        <f>IF('Plant Data'!A19="","",'Plant Data'!A19)</f>
        <v/>
      </c>
    </row>
    <row r="20" spans="1:1" x14ac:dyDescent="0.2">
      <c r="A20" t="str">
        <f>IF('Plant Data'!A20="","",'Plant Data'!A20)</f>
        <v/>
      </c>
    </row>
    <row r="21" spans="1:1" x14ac:dyDescent="0.2">
      <c r="A21" t="str">
        <f>IF('Plant Data'!A21="","",'Plant Data'!A21)</f>
        <v/>
      </c>
    </row>
    <row r="22" spans="1:1" x14ac:dyDescent="0.2">
      <c r="A22" t="str">
        <f>IF('Plant Data'!A22="","",'Plant Data'!A22)</f>
        <v/>
      </c>
    </row>
    <row r="23" spans="1:1" x14ac:dyDescent="0.2">
      <c r="A23" t="str">
        <f>IF('Plant Data'!A23="","",'Plant Data'!A23)</f>
        <v/>
      </c>
    </row>
    <row r="24" spans="1:1" x14ac:dyDescent="0.2">
      <c r="A24" t="str">
        <f>IF('Plant Data'!A24="","",'Plant Data'!A24)</f>
        <v/>
      </c>
    </row>
    <row r="25" spans="1:1" x14ac:dyDescent="0.2">
      <c r="A25" t="str">
        <f>IF('Plant Data'!A25="","",'Plant Data'!A25)</f>
        <v/>
      </c>
    </row>
    <row r="26" spans="1:1" x14ac:dyDescent="0.2">
      <c r="A26" t="str">
        <f>IF('Plant Data'!A26="","",'Plant Data'!A26)</f>
        <v/>
      </c>
    </row>
    <row r="27" spans="1:1" x14ac:dyDescent="0.2">
      <c r="A27" t="str">
        <f>IF('Plant Data'!A27="","",'Plant Data'!A27)</f>
        <v/>
      </c>
    </row>
    <row r="28" spans="1:1" x14ac:dyDescent="0.2">
      <c r="A28" t="str">
        <f>IF('Plant Data'!A28="","",'Plant Data'!A28)</f>
        <v/>
      </c>
    </row>
    <row r="29" spans="1:1" x14ac:dyDescent="0.2">
      <c r="A29" t="str">
        <f>IF('Plant Data'!A29="","",'Plant Data'!A29)</f>
        <v/>
      </c>
    </row>
    <row r="30" spans="1:1" x14ac:dyDescent="0.2">
      <c r="A30" t="str">
        <f>IF('Plant Data'!A30="","",'Plant Data'!A30)</f>
        <v/>
      </c>
    </row>
    <row r="31" spans="1:1" x14ac:dyDescent="0.2">
      <c r="A31" t="str">
        <f>IF('Plant Data'!A31="","",'Plant Data'!A31)</f>
        <v/>
      </c>
    </row>
    <row r="32" spans="1:1" x14ac:dyDescent="0.2">
      <c r="A32" t="str">
        <f>IF('Plant Data'!A32="","",'Plant Data'!A32)</f>
        <v/>
      </c>
    </row>
    <row r="33" spans="1:1" x14ac:dyDescent="0.2">
      <c r="A33" t="str">
        <f>IF('Plant Data'!A33="","",'Plant Data'!A33)</f>
        <v/>
      </c>
    </row>
    <row r="34" spans="1:1" x14ac:dyDescent="0.2">
      <c r="A34" t="str">
        <f>IF('Plant Data'!A34="","",'Plant Data'!A34)</f>
        <v/>
      </c>
    </row>
    <row r="35" spans="1:1" x14ac:dyDescent="0.2">
      <c r="A35" t="str">
        <f>IF('Plant Data'!A35="","",'Plant Data'!A35)</f>
        <v/>
      </c>
    </row>
    <row r="36" spans="1:1" x14ac:dyDescent="0.2">
      <c r="A36" t="str">
        <f>IF('Plant Data'!A36="","",'Plant Data'!A36)</f>
        <v/>
      </c>
    </row>
    <row r="37" spans="1:1" x14ac:dyDescent="0.2">
      <c r="A37" t="str">
        <f>IF('Plant Data'!A37="","",'Plant Data'!A37)</f>
        <v/>
      </c>
    </row>
    <row r="38" spans="1:1" x14ac:dyDescent="0.2">
      <c r="A38" t="str">
        <f>IF('Plant Data'!A38="","",'Plant Data'!A38)</f>
        <v/>
      </c>
    </row>
    <row r="39" spans="1:1" x14ac:dyDescent="0.2">
      <c r="A39" t="str">
        <f>IF('Plant Data'!A39="","",'Plant Data'!A39)</f>
        <v/>
      </c>
    </row>
    <row r="40" spans="1:1" x14ac:dyDescent="0.2">
      <c r="A40" t="str">
        <f>IF('Plant Data'!A40="","",'Plant Data'!A40)</f>
        <v/>
      </c>
    </row>
    <row r="41" spans="1:1" x14ac:dyDescent="0.2">
      <c r="A41" t="str">
        <f>IF('Plant Data'!A41="","",'Plant Data'!A41)</f>
        <v/>
      </c>
    </row>
    <row r="42" spans="1:1" x14ac:dyDescent="0.2">
      <c r="A42" t="str">
        <f>IF('Plant Data'!A42="","",'Plant Data'!A42)</f>
        <v/>
      </c>
    </row>
    <row r="43" spans="1:1" x14ac:dyDescent="0.2">
      <c r="A43" t="str">
        <f>IF('Plant Data'!A43="","",'Plant Data'!A43)</f>
        <v/>
      </c>
    </row>
    <row r="44" spans="1:1" x14ac:dyDescent="0.2">
      <c r="A44" t="str">
        <f>IF('Plant Data'!A44="","",'Plant Data'!A44)</f>
        <v/>
      </c>
    </row>
    <row r="45" spans="1:1" x14ac:dyDescent="0.2">
      <c r="A45" t="str">
        <f>IF('Plant Data'!A45="","",'Plant Data'!A45)</f>
        <v/>
      </c>
    </row>
    <row r="46" spans="1:1" x14ac:dyDescent="0.2">
      <c r="A46" t="str">
        <f>IF('Plant Data'!A46="","",'Plant Data'!A46)</f>
        <v/>
      </c>
    </row>
    <row r="47" spans="1:1" x14ac:dyDescent="0.2">
      <c r="A47" t="str">
        <f>IF('Plant Data'!A47="","",'Plant Data'!A47)</f>
        <v/>
      </c>
    </row>
    <row r="48" spans="1:1" x14ac:dyDescent="0.2">
      <c r="A48" t="str">
        <f>IF('Plant Data'!A48="","",'Plant Data'!A48)</f>
        <v/>
      </c>
    </row>
    <row r="49" spans="1:1" x14ac:dyDescent="0.2">
      <c r="A49" t="str">
        <f>IF('Plant Data'!A49="","",'Plant Data'!A49)</f>
        <v/>
      </c>
    </row>
    <row r="50" spans="1:1" x14ac:dyDescent="0.2">
      <c r="A50" t="str">
        <f>IF('Plant Data'!A50="","",'Plant Data'!A50)</f>
        <v/>
      </c>
    </row>
    <row r="51" spans="1:1" x14ac:dyDescent="0.2">
      <c r="A51" t="str">
        <f>IF('Plant Data'!A51="","",'Plant Data'!A51)</f>
        <v/>
      </c>
    </row>
    <row r="52" spans="1:1" x14ac:dyDescent="0.2">
      <c r="A52" t="str">
        <f>IF('Plant Data'!A52="","",'Plant Data'!A52)</f>
        <v/>
      </c>
    </row>
    <row r="53" spans="1:1" x14ac:dyDescent="0.2">
      <c r="A53" t="str">
        <f>IF('Plant Data'!A53="","",'Plant Data'!A53)</f>
        <v/>
      </c>
    </row>
    <row r="54" spans="1:1" x14ac:dyDescent="0.2">
      <c r="A54" t="str">
        <f>IF('Plant Data'!A54="","",'Plant Data'!A54)</f>
        <v/>
      </c>
    </row>
    <row r="55" spans="1:1" x14ac:dyDescent="0.2">
      <c r="A55" t="str">
        <f>IF('Plant Data'!A55="","",'Plant Data'!A55)</f>
        <v/>
      </c>
    </row>
    <row r="56" spans="1:1" x14ac:dyDescent="0.2">
      <c r="A56" t="str">
        <f>IF('Plant Data'!A56="","",'Plant Data'!A56)</f>
        <v/>
      </c>
    </row>
    <row r="57" spans="1:1" x14ac:dyDescent="0.2">
      <c r="A57" t="str">
        <f>IF('Plant Data'!A57="","",'Plant Data'!A57)</f>
        <v/>
      </c>
    </row>
    <row r="58" spans="1:1" x14ac:dyDescent="0.2">
      <c r="A58" t="str">
        <f>IF('Plant Data'!A58="","",'Plant Data'!A58)</f>
        <v/>
      </c>
    </row>
    <row r="59" spans="1:1" x14ac:dyDescent="0.2">
      <c r="A59" t="str">
        <f>IF('Plant Data'!A59="","",'Plant Data'!A59)</f>
        <v/>
      </c>
    </row>
    <row r="60" spans="1:1" x14ac:dyDescent="0.2">
      <c r="A60" t="str">
        <f>IF('Plant Data'!A60="","",'Plant Data'!A60)</f>
        <v/>
      </c>
    </row>
    <row r="61" spans="1:1" x14ac:dyDescent="0.2">
      <c r="A61" t="str">
        <f>IF('Plant Data'!A61="","",'Plant Data'!A61)</f>
        <v/>
      </c>
    </row>
    <row r="62" spans="1:1" x14ac:dyDescent="0.2">
      <c r="A62" t="str">
        <f>IF('Plant Data'!A62="","",'Plant Data'!A62)</f>
        <v/>
      </c>
    </row>
    <row r="63" spans="1:1" x14ac:dyDescent="0.2">
      <c r="A63" t="str">
        <f>IF('Plant Data'!A63="","",'Plant Data'!A63)</f>
        <v/>
      </c>
    </row>
    <row r="64" spans="1:1" x14ac:dyDescent="0.2">
      <c r="A64" t="str">
        <f>IF('Plant Data'!A64="","",'Plant Data'!A64)</f>
        <v/>
      </c>
    </row>
    <row r="65" spans="1:1" x14ac:dyDescent="0.2">
      <c r="A65" t="str">
        <f>IF('Plant Data'!A65="","",'Plant Data'!A65)</f>
        <v/>
      </c>
    </row>
    <row r="66" spans="1:1" x14ac:dyDescent="0.2">
      <c r="A66" t="str">
        <f>IF('Plant Data'!A66="","",'Plant Data'!A66)</f>
        <v/>
      </c>
    </row>
    <row r="67" spans="1:1" x14ac:dyDescent="0.2">
      <c r="A67" t="str">
        <f>IF('Plant Data'!A67="","",'Plant Data'!A67)</f>
        <v/>
      </c>
    </row>
    <row r="68" spans="1:1" x14ac:dyDescent="0.2">
      <c r="A68" t="str">
        <f>IF('Plant Data'!A68="","",'Plant Data'!A68)</f>
        <v/>
      </c>
    </row>
    <row r="69" spans="1:1" x14ac:dyDescent="0.2">
      <c r="A69" t="str">
        <f>IF('Plant Data'!A69="","",'Plant Data'!A69)</f>
        <v/>
      </c>
    </row>
    <row r="70" spans="1:1" x14ac:dyDescent="0.2">
      <c r="A70" t="str">
        <f>IF('Plant Data'!A70="","",'Plant Data'!A70)</f>
        <v/>
      </c>
    </row>
    <row r="71" spans="1:1" x14ac:dyDescent="0.2">
      <c r="A71" t="str">
        <f>IF('Plant Data'!A71="","",'Plant Data'!A71)</f>
        <v/>
      </c>
    </row>
    <row r="72" spans="1:1" x14ac:dyDescent="0.2">
      <c r="A72" t="str">
        <f>IF('Plant Data'!A72="","",'Plant Data'!A72)</f>
        <v/>
      </c>
    </row>
    <row r="73" spans="1:1" x14ac:dyDescent="0.2">
      <c r="A73" t="str">
        <f>IF('Plant Data'!A73="","",'Plant Data'!A73)</f>
        <v/>
      </c>
    </row>
    <row r="74" spans="1:1" x14ac:dyDescent="0.2">
      <c r="A74" t="str">
        <f>IF('Plant Data'!A74="","",'Plant Data'!A74)</f>
        <v/>
      </c>
    </row>
    <row r="75" spans="1:1" x14ac:dyDescent="0.2">
      <c r="A75" t="str">
        <f>IF('Plant Data'!A75="","",'Plant Data'!A75)</f>
        <v/>
      </c>
    </row>
    <row r="76" spans="1:1" x14ac:dyDescent="0.2">
      <c r="A76" t="str">
        <f>IF('Plant Data'!A76="","",'Plant Data'!A76)</f>
        <v/>
      </c>
    </row>
    <row r="77" spans="1:1" x14ac:dyDescent="0.2">
      <c r="A77" t="str">
        <f>IF('Plant Data'!A77="","",'Plant Data'!A77)</f>
        <v/>
      </c>
    </row>
    <row r="78" spans="1:1" x14ac:dyDescent="0.2">
      <c r="A78" t="str">
        <f>IF('Plant Data'!A78="","",'Plant Data'!A78)</f>
        <v/>
      </c>
    </row>
    <row r="79" spans="1:1" x14ac:dyDescent="0.2">
      <c r="A79" t="str">
        <f>IF('Plant Data'!A79="","",'Plant Data'!A79)</f>
        <v/>
      </c>
    </row>
    <row r="80" spans="1:1" x14ac:dyDescent="0.2">
      <c r="A80" t="str">
        <f>IF('Plant Data'!A80="","",'Plant Data'!A80)</f>
        <v/>
      </c>
    </row>
    <row r="81" spans="1:1" x14ac:dyDescent="0.2">
      <c r="A81" t="str">
        <f>IF('Plant Data'!A81="","",'Plant Data'!A81)</f>
        <v/>
      </c>
    </row>
    <row r="82" spans="1:1" x14ac:dyDescent="0.2">
      <c r="A82" t="str">
        <f>IF('Plant Data'!A82="","",'Plant Data'!A82)</f>
        <v/>
      </c>
    </row>
    <row r="83" spans="1:1" x14ac:dyDescent="0.2">
      <c r="A83" t="str">
        <f>IF('Plant Data'!A83="","",'Plant Data'!A83)</f>
        <v/>
      </c>
    </row>
    <row r="84" spans="1:1" x14ac:dyDescent="0.2">
      <c r="A84" t="str">
        <f>IF('Plant Data'!A84="","",'Plant Data'!A84)</f>
        <v/>
      </c>
    </row>
    <row r="85" spans="1:1" x14ac:dyDescent="0.2">
      <c r="A85" t="str">
        <f>IF('Plant Data'!A85="","",'Plant Data'!A85)</f>
        <v/>
      </c>
    </row>
    <row r="86" spans="1:1" x14ac:dyDescent="0.2">
      <c r="A86" t="str">
        <f>IF('Plant Data'!A86="","",'Plant Data'!A86)</f>
        <v/>
      </c>
    </row>
    <row r="87" spans="1:1" x14ac:dyDescent="0.2">
      <c r="A87" t="str">
        <f>IF('Plant Data'!A87="","",'Plant Data'!A87)</f>
        <v/>
      </c>
    </row>
    <row r="88" spans="1:1" x14ac:dyDescent="0.2">
      <c r="A88" t="str">
        <f>IF('Plant Data'!A88="","",'Plant Data'!A88)</f>
        <v/>
      </c>
    </row>
    <row r="89" spans="1:1" x14ac:dyDescent="0.2">
      <c r="A89" t="str">
        <f>IF('Plant Data'!A89="","",'Plant Data'!A89)</f>
        <v/>
      </c>
    </row>
    <row r="90" spans="1:1" x14ac:dyDescent="0.2">
      <c r="A90" t="str">
        <f>IF('Plant Data'!A90="","",'Plant Data'!A90)</f>
        <v/>
      </c>
    </row>
    <row r="91" spans="1:1" x14ac:dyDescent="0.2">
      <c r="A91" t="str">
        <f>IF('Plant Data'!A91="","",'Plant Data'!A91)</f>
        <v/>
      </c>
    </row>
    <row r="92" spans="1:1" x14ac:dyDescent="0.2">
      <c r="A92" t="str">
        <f>IF('Plant Data'!A92="","",'Plant Data'!A92)</f>
        <v/>
      </c>
    </row>
    <row r="93" spans="1:1" x14ac:dyDescent="0.2">
      <c r="A93" t="str">
        <f>IF('Plant Data'!A93="","",'Plant Data'!A93)</f>
        <v/>
      </c>
    </row>
    <row r="94" spans="1:1" x14ac:dyDescent="0.2">
      <c r="A94" t="str">
        <f>IF('Plant Data'!A94="","",'Plant Data'!A94)</f>
        <v/>
      </c>
    </row>
    <row r="95" spans="1:1" x14ac:dyDescent="0.2">
      <c r="A95" t="str">
        <f>IF('Plant Data'!A95="","",'Plant Data'!A95)</f>
        <v/>
      </c>
    </row>
    <row r="96" spans="1:1" x14ac:dyDescent="0.2">
      <c r="A96" t="str">
        <f>IF('Plant Data'!A96="","",'Plant Data'!A96)</f>
        <v/>
      </c>
    </row>
    <row r="97" spans="1:1" x14ac:dyDescent="0.2">
      <c r="A97" t="str">
        <f>IF('Plant Data'!A97="","",'Plant Data'!A97)</f>
        <v/>
      </c>
    </row>
    <row r="98" spans="1:1" x14ac:dyDescent="0.2">
      <c r="A98" t="str">
        <f>IF('Plant Data'!A98="","",'Plant Data'!A98)</f>
        <v/>
      </c>
    </row>
    <row r="99" spans="1:1" x14ac:dyDescent="0.2">
      <c r="A99" t="str">
        <f>IF('Plant Data'!A99="","",'Plant Data'!A99)</f>
        <v/>
      </c>
    </row>
    <row r="100" spans="1:1" x14ac:dyDescent="0.2">
      <c r="A100" t="str">
        <f>IF('Plant Data'!A100="","",'Plant Data'!A100)</f>
        <v/>
      </c>
    </row>
    <row r="101" spans="1:1" x14ac:dyDescent="0.2">
      <c r="A101" t="str">
        <f>IF('Plant Data'!A101="","",'Plant Data'!A101)</f>
        <v/>
      </c>
    </row>
    <row r="102" spans="1:1" x14ac:dyDescent="0.2">
      <c r="A102" t="str">
        <f>IF('Plant Data'!A102="","",'Plant Data'!A102)</f>
        <v/>
      </c>
    </row>
    <row r="103" spans="1:1" x14ac:dyDescent="0.2">
      <c r="A103" t="str">
        <f>IF('Plant Data'!A103="","",'Plant Data'!A103)</f>
        <v/>
      </c>
    </row>
    <row r="104" spans="1:1" x14ac:dyDescent="0.2">
      <c r="A104" t="str">
        <f>IF('Plant Data'!A104="","",'Plant Data'!A104)</f>
        <v/>
      </c>
    </row>
    <row r="105" spans="1:1" x14ac:dyDescent="0.2">
      <c r="A105" t="str">
        <f>IF('Plant Data'!A105="","",'Plant Data'!A105)</f>
        <v/>
      </c>
    </row>
    <row r="106" spans="1:1" x14ac:dyDescent="0.2">
      <c r="A106" t="str">
        <f>IF('Plant Data'!A106="","",'Plant Data'!A106)</f>
        <v/>
      </c>
    </row>
    <row r="107" spans="1:1" x14ac:dyDescent="0.2">
      <c r="A107" t="str">
        <f>IF('Plant Data'!A107="","",'Plant Data'!A107)</f>
        <v/>
      </c>
    </row>
    <row r="108" spans="1:1" x14ac:dyDescent="0.2">
      <c r="A108" t="str">
        <f>IF('Plant Data'!A108="","",'Plant Data'!A108)</f>
        <v/>
      </c>
    </row>
    <row r="109" spans="1:1" x14ac:dyDescent="0.2">
      <c r="A109" t="str">
        <f>IF('Plant Data'!A109="","",'Plant Data'!A109)</f>
        <v/>
      </c>
    </row>
    <row r="110" spans="1:1" x14ac:dyDescent="0.2">
      <c r="A110" t="str">
        <f>IF('Plant Data'!A110="","",'Plant Data'!A110)</f>
        <v/>
      </c>
    </row>
    <row r="111" spans="1:1" x14ac:dyDescent="0.2">
      <c r="A111" t="str">
        <f>IF('Plant Data'!A111="","",'Plant Data'!A111)</f>
        <v/>
      </c>
    </row>
    <row r="112" spans="1:1" x14ac:dyDescent="0.2">
      <c r="A112" t="str">
        <f>IF('Plant Data'!A112="","",'Plant Data'!A112)</f>
        <v/>
      </c>
    </row>
    <row r="113" spans="1:1" x14ac:dyDescent="0.2">
      <c r="A113" t="str">
        <f>IF('Plant Data'!A113="","",'Plant Data'!A113)</f>
        <v/>
      </c>
    </row>
    <row r="114" spans="1:1" x14ac:dyDescent="0.2">
      <c r="A114" t="str">
        <f>IF('Plant Data'!A114="","",'Plant Data'!A114)</f>
        <v/>
      </c>
    </row>
    <row r="115" spans="1:1" x14ac:dyDescent="0.2">
      <c r="A115" t="str">
        <f>IF('Plant Data'!A115="","",'Plant Data'!A115)</f>
        <v/>
      </c>
    </row>
    <row r="116" spans="1:1" x14ac:dyDescent="0.2">
      <c r="A116" t="str">
        <f>IF('Plant Data'!A116="","",'Plant Data'!A116)</f>
        <v/>
      </c>
    </row>
    <row r="117" spans="1:1" x14ac:dyDescent="0.2">
      <c r="A117" t="str">
        <f>IF('Plant Data'!A117="","",'Plant Data'!A117)</f>
        <v/>
      </c>
    </row>
    <row r="118" spans="1:1" x14ac:dyDescent="0.2">
      <c r="A118" t="str">
        <f>IF('Plant Data'!A118="","",'Plant Data'!A118)</f>
        <v/>
      </c>
    </row>
    <row r="119" spans="1:1" x14ac:dyDescent="0.2">
      <c r="A119" t="str">
        <f>IF('Plant Data'!A119="","",'Plant Data'!A119)</f>
        <v/>
      </c>
    </row>
    <row r="120" spans="1:1" x14ac:dyDescent="0.2">
      <c r="A120" t="str">
        <f>IF('Plant Data'!A120="","",'Plant Data'!A120)</f>
        <v/>
      </c>
    </row>
    <row r="121" spans="1:1" x14ac:dyDescent="0.2">
      <c r="A121" t="str">
        <f>IF('Plant Data'!A121="","",'Plant Data'!A121)</f>
        <v/>
      </c>
    </row>
    <row r="122" spans="1:1" x14ac:dyDescent="0.2">
      <c r="A122" t="str">
        <f>IF('Plant Data'!A122="","",'Plant Data'!A122)</f>
        <v/>
      </c>
    </row>
    <row r="123" spans="1:1" x14ac:dyDescent="0.2">
      <c r="A123" t="str">
        <f>IF('Plant Data'!A123="","",'Plant Data'!A123)</f>
        <v/>
      </c>
    </row>
    <row r="124" spans="1:1" x14ac:dyDescent="0.2">
      <c r="A124" t="str">
        <f>IF('Plant Data'!A124="","",'Plant Data'!A124)</f>
        <v/>
      </c>
    </row>
    <row r="125" spans="1:1" x14ac:dyDescent="0.2">
      <c r="A125" t="str">
        <f>IF('Plant Data'!A125="","",'Plant Data'!A125)</f>
        <v/>
      </c>
    </row>
    <row r="126" spans="1:1" x14ac:dyDescent="0.2">
      <c r="A126" t="str">
        <f>IF('Plant Data'!A126="","",'Plant Data'!A126)</f>
        <v/>
      </c>
    </row>
    <row r="127" spans="1:1" x14ac:dyDescent="0.2">
      <c r="A127" t="str">
        <f>IF('Plant Data'!A127="","",'Plant Data'!A127)</f>
        <v/>
      </c>
    </row>
    <row r="128" spans="1:1" x14ac:dyDescent="0.2">
      <c r="A128" t="str">
        <f>IF('Plant Data'!A128="","",'Plant Data'!A128)</f>
        <v/>
      </c>
    </row>
    <row r="129" spans="1:1" x14ac:dyDescent="0.2">
      <c r="A129" t="str">
        <f>IF('Plant Data'!A129="","",'Plant Data'!A129)</f>
        <v/>
      </c>
    </row>
    <row r="130" spans="1:1" x14ac:dyDescent="0.2">
      <c r="A130" t="str">
        <f>IF('Plant Data'!A130="","",'Plant Data'!A130)</f>
        <v/>
      </c>
    </row>
    <row r="131" spans="1:1" x14ac:dyDescent="0.2">
      <c r="A131" t="str">
        <f>IF('Plant Data'!A131="","",'Plant Data'!A131)</f>
        <v/>
      </c>
    </row>
    <row r="132" spans="1:1" x14ac:dyDescent="0.2">
      <c r="A132" t="str">
        <f>IF('Plant Data'!A132="","",'Plant Data'!A132)</f>
        <v/>
      </c>
    </row>
    <row r="133" spans="1:1" x14ac:dyDescent="0.2">
      <c r="A133" t="str">
        <f>IF('Plant Data'!A133="","",'Plant Data'!A133)</f>
        <v/>
      </c>
    </row>
    <row r="134" spans="1:1" x14ac:dyDescent="0.2">
      <c r="A134" t="str">
        <f>IF('Plant Data'!A134="","",'Plant Data'!A134)</f>
        <v/>
      </c>
    </row>
    <row r="135" spans="1:1" x14ac:dyDescent="0.2">
      <c r="A135" t="str">
        <f>IF('Plant Data'!A135="","",'Plant Data'!A135)</f>
        <v/>
      </c>
    </row>
    <row r="136" spans="1:1" x14ac:dyDescent="0.2">
      <c r="A136" t="str">
        <f>IF('Plant Data'!A136="","",'Plant Data'!A136)</f>
        <v/>
      </c>
    </row>
    <row r="137" spans="1:1" x14ac:dyDescent="0.2">
      <c r="A137" t="str">
        <f>IF('Plant Data'!A137="","",'Plant Data'!A137)</f>
        <v/>
      </c>
    </row>
    <row r="138" spans="1:1" x14ac:dyDescent="0.2">
      <c r="A138" t="str">
        <f>IF('Plant Data'!A138="","",'Plant Data'!A138)</f>
        <v/>
      </c>
    </row>
    <row r="139" spans="1:1" x14ac:dyDescent="0.2">
      <c r="A139" t="str">
        <f>IF('Plant Data'!A139="","",'Plant Data'!A139)</f>
        <v/>
      </c>
    </row>
    <row r="140" spans="1:1" x14ac:dyDescent="0.2">
      <c r="A140" t="str">
        <f>IF('Plant Data'!A140="","",'Plant Data'!A140)</f>
        <v/>
      </c>
    </row>
    <row r="141" spans="1:1" x14ac:dyDescent="0.2">
      <c r="A141" t="str">
        <f>IF('Plant Data'!A141="","",'Plant Data'!A141)</f>
        <v/>
      </c>
    </row>
    <row r="142" spans="1:1" x14ac:dyDescent="0.2">
      <c r="A142" t="str">
        <f>IF('Plant Data'!A142="","",'Plant Data'!A142)</f>
        <v/>
      </c>
    </row>
    <row r="143" spans="1:1" x14ac:dyDescent="0.2">
      <c r="A143" t="str">
        <f>IF('Plant Data'!A143="","",'Plant Data'!A143)</f>
        <v/>
      </c>
    </row>
    <row r="144" spans="1:1" x14ac:dyDescent="0.2">
      <c r="A144" t="str">
        <f>IF('Plant Data'!A144="","",'Plant Data'!A144)</f>
        <v/>
      </c>
    </row>
    <row r="145" spans="1:1" x14ac:dyDescent="0.2">
      <c r="A145" t="str">
        <f>IF('Plant Data'!A145="","",'Plant Data'!A145)</f>
        <v/>
      </c>
    </row>
    <row r="146" spans="1:1" x14ac:dyDescent="0.2">
      <c r="A146" t="str">
        <f>IF('Plant Data'!A146="","",'Plant Data'!A146)</f>
        <v/>
      </c>
    </row>
    <row r="147" spans="1:1" x14ac:dyDescent="0.2">
      <c r="A147" t="str">
        <f>IF('Plant Data'!A147="","",'Plant Data'!A147)</f>
        <v/>
      </c>
    </row>
    <row r="148" spans="1:1" x14ac:dyDescent="0.2">
      <c r="A148" t="str">
        <f>IF('Plant Data'!A148="","",'Plant Data'!A148)</f>
        <v/>
      </c>
    </row>
    <row r="149" spans="1:1" x14ac:dyDescent="0.2">
      <c r="A149" t="str">
        <f>IF('Plant Data'!A149="","",'Plant Data'!A149)</f>
        <v/>
      </c>
    </row>
    <row r="150" spans="1:1" x14ac:dyDescent="0.2">
      <c r="A150" t="str">
        <f>IF('Plant Data'!A150="","",'Plant Data'!A150)</f>
        <v/>
      </c>
    </row>
    <row r="151" spans="1:1" x14ac:dyDescent="0.2">
      <c r="A151" t="str">
        <f>IF('Plant Data'!A151="","",'Plant Data'!A151)</f>
        <v/>
      </c>
    </row>
    <row r="152" spans="1:1" x14ac:dyDescent="0.2">
      <c r="A152" t="str">
        <f>IF('Plant Data'!A152="","",'Plant Data'!A152)</f>
        <v/>
      </c>
    </row>
    <row r="153" spans="1:1" x14ac:dyDescent="0.2">
      <c r="A153" t="str">
        <f>IF('Plant Data'!A153="","",'Plant Data'!A153)</f>
        <v/>
      </c>
    </row>
    <row r="154" spans="1:1" x14ac:dyDescent="0.2">
      <c r="A154" t="str">
        <f>IF('Plant Data'!A154="","",'Plant Data'!A154)</f>
        <v/>
      </c>
    </row>
    <row r="155" spans="1:1" x14ac:dyDescent="0.2">
      <c r="A155" t="str">
        <f>IF('Plant Data'!A155="","",'Plant Data'!A155)</f>
        <v/>
      </c>
    </row>
    <row r="156" spans="1:1" x14ac:dyDescent="0.2">
      <c r="A156" t="str">
        <f>IF('Plant Data'!A156="","",'Plant Data'!A156)</f>
        <v/>
      </c>
    </row>
    <row r="157" spans="1:1" x14ac:dyDescent="0.2">
      <c r="A157" t="str">
        <f>IF('Plant Data'!A157="","",'Plant Data'!A157)</f>
        <v/>
      </c>
    </row>
    <row r="158" spans="1:1" x14ac:dyDescent="0.2">
      <c r="A158" t="str">
        <f>IF('Plant Data'!A158="","",'Plant Data'!A158)</f>
        <v/>
      </c>
    </row>
    <row r="159" spans="1:1" x14ac:dyDescent="0.2">
      <c r="A159" t="str">
        <f>IF('Plant Data'!A159="","",'Plant Data'!A159)</f>
        <v/>
      </c>
    </row>
    <row r="160" spans="1:1" x14ac:dyDescent="0.2">
      <c r="A160" t="str">
        <f>IF('Plant Data'!A160="","",'Plant Data'!A160)</f>
        <v/>
      </c>
    </row>
    <row r="161" spans="1:1" x14ac:dyDescent="0.2">
      <c r="A161" t="str">
        <f>IF('Plant Data'!A161="","",'Plant Data'!A161)</f>
        <v/>
      </c>
    </row>
    <row r="162" spans="1:1" x14ac:dyDescent="0.2">
      <c r="A162" t="str">
        <f>IF('Plant Data'!A162="","",'Plant Data'!A162)</f>
        <v/>
      </c>
    </row>
    <row r="163" spans="1:1" x14ac:dyDescent="0.2">
      <c r="A163" t="str">
        <f>IF('Plant Data'!A163="","",'Plant Data'!A163)</f>
        <v/>
      </c>
    </row>
    <row r="164" spans="1:1" x14ac:dyDescent="0.2">
      <c r="A164" t="str">
        <f>IF('Plant Data'!A164="","",'Plant Data'!A164)</f>
        <v/>
      </c>
    </row>
    <row r="165" spans="1:1" x14ac:dyDescent="0.2">
      <c r="A165" t="str">
        <f>IF('Plant Data'!A165="","",'Plant Data'!A165)</f>
        <v/>
      </c>
    </row>
    <row r="166" spans="1:1" x14ac:dyDescent="0.2">
      <c r="A166" t="str">
        <f>IF('Plant Data'!A166="","",'Plant Data'!A166)</f>
        <v/>
      </c>
    </row>
    <row r="167" spans="1:1" x14ac:dyDescent="0.2">
      <c r="A167" t="str">
        <f>IF('Plant Data'!A167="","",'Plant Data'!A167)</f>
        <v/>
      </c>
    </row>
    <row r="168" spans="1:1" x14ac:dyDescent="0.2">
      <c r="A168" t="str">
        <f>IF('Plant Data'!A168="","",'Plant Data'!A168)</f>
        <v/>
      </c>
    </row>
    <row r="169" spans="1:1" x14ac:dyDescent="0.2">
      <c r="A169" t="str">
        <f>IF('Plant Data'!A169="","",'Plant Data'!A169)</f>
        <v/>
      </c>
    </row>
    <row r="170" spans="1:1" x14ac:dyDescent="0.2">
      <c r="A170" t="str">
        <f>IF('Plant Data'!A170="","",'Plant Data'!A170)</f>
        <v/>
      </c>
    </row>
    <row r="171" spans="1:1" x14ac:dyDescent="0.2">
      <c r="A171" t="str">
        <f>IF('Plant Data'!A171="","",'Plant Data'!A171)</f>
        <v/>
      </c>
    </row>
    <row r="172" spans="1:1" x14ac:dyDescent="0.2">
      <c r="A172" t="str">
        <f>IF('Plant Data'!A172="","",'Plant Data'!A172)</f>
        <v/>
      </c>
    </row>
    <row r="173" spans="1:1" x14ac:dyDescent="0.2">
      <c r="A173" t="str">
        <f>IF('Plant Data'!A173="","",'Plant Data'!A173)</f>
        <v/>
      </c>
    </row>
    <row r="174" spans="1:1" x14ac:dyDescent="0.2">
      <c r="A174" t="str">
        <f>IF('Plant Data'!A174="","",'Plant Data'!A174)</f>
        <v/>
      </c>
    </row>
    <row r="175" spans="1:1" x14ac:dyDescent="0.2">
      <c r="A175" t="str">
        <f>IF('Plant Data'!A175="","",'Plant Data'!A175)</f>
        <v/>
      </c>
    </row>
    <row r="176" spans="1:1" x14ac:dyDescent="0.2">
      <c r="A176" t="str">
        <f>IF('Plant Data'!A176="","",'Plant Data'!A176)</f>
        <v/>
      </c>
    </row>
    <row r="177" spans="1:1" x14ac:dyDescent="0.2">
      <c r="A177" t="str">
        <f>IF('Plant Data'!A177="","",'Plant Data'!A177)</f>
        <v/>
      </c>
    </row>
    <row r="178" spans="1:1" x14ac:dyDescent="0.2">
      <c r="A178" t="str">
        <f>IF('Plant Data'!A178="","",'Plant Data'!A178)</f>
        <v/>
      </c>
    </row>
    <row r="179" spans="1:1" x14ac:dyDescent="0.2">
      <c r="A179" t="str">
        <f>IF('Plant Data'!A179="","",'Plant Data'!A179)</f>
        <v/>
      </c>
    </row>
    <row r="180" spans="1:1" x14ac:dyDescent="0.2">
      <c r="A180" t="str">
        <f>IF('Plant Data'!A180="","",'Plant Data'!A180)</f>
        <v/>
      </c>
    </row>
    <row r="181" spans="1:1" x14ac:dyDescent="0.2">
      <c r="A181" t="str">
        <f>IF('Plant Data'!A181="","",'Plant Data'!A181)</f>
        <v/>
      </c>
    </row>
    <row r="182" spans="1:1" x14ac:dyDescent="0.2">
      <c r="A182" t="str">
        <f>IF('Plant Data'!A182="","",'Plant Data'!A182)</f>
        <v/>
      </c>
    </row>
    <row r="183" spans="1:1" x14ac:dyDescent="0.2">
      <c r="A183" t="str">
        <f>IF('Plant Data'!A183="","",'Plant Data'!A183)</f>
        <v/>
      </c>
    </row>
    <row r="184" spans="1:1" x14ac:dyDescent="0.2">
      <c r="A184" t="str">
        <f>IF('Plant Data'!A184="","",'Plant Data'!A184)</f>
        <v/>
      </c>
    </row>
    <row r="185" spans="1:1" x14ac:dyDescent="0.2">
      <c r="A185" t="str">
        <f>IF('Plant Data'!A185="","",'Plant Data'!A185)</f>
        <v/>
      </c>
    </row>
    <row r="186" spans="1:1" x14ac:dyDescent="0.2">
      <c r="A186" t="str">
        <f>IF('Plant Data'!A186="","",'Plant Data'!A186)</f>
        <v/>
      </c>
    </row>
    <row r="187" spans="1:1" x14ac:dyDescent="0.2">
      <c r="A187" t="str">
        <f>IF('Plant Data'!A187="","",'Plant Data'!A187)</f>
        <v/>
      </c>
    </row>
    <row r="188" spans="1:1" x14ac:dyDescent="0.2">
      <c r="A188" t="str">
        <f>IF('Plant Data'!A188="","",'Plant Data'!A188)</f>
        <v/>
      </c>
    </row>
    <row r="189" spans="1:1" x14ac:dyDescent="0.2">
      <c r="A189" t="str">
        <f>IF('Plant Data'!A189="","",'Plant Data'!A189)</f>
        <v/>
      </c>
    </row>
    <row r="190" spans="1:1" x14ac:dyDescent="0.2">
      <c r="A190" t="str">
        <f>IF('Plant Data'!A190="","",'Plant Data'!A190)</f>
        <v/>
      </c>
    </row>
    <row r="191" spans="1:1" x14ac:dyDescent="0.2">
      <c r="A191" t="str">
        <f>IF('Plant Data'!A191="","",'Plant Data'!A191)</f>
        <v/>
      </c>
    </row>
    <row r="192" spans="1:1" x14ac:dyDescent="0.2">
      <c r="A192" t="str">
        <f>IF('Plant Data'!A192="","",'Plant Data'!A192)</f>
        <v/>
      </c>
    </row>
    <row r="193" spans="1:1" x14ac:dyDescent="0.2">
      <c r="A193" t="str">
        <f>IF('Plant Data'!A193="","",'Plant Data'!A193)</f>
        <v/>
      </c>
    </row>
    <row r="194" spans="1:1" x14ac:dyDescent="0.2">
      <c r="A194" t="str">
        <f>IF('Plant Data'!A194="","",'Plant Data'!A194)</f>
        <v/>
      </c>
    </row>
    <row r="195" spans="1:1" x14ac:dyDescent="0.2">
      <c r="A195" t="str">
        <f>IF('Plant Data'!A195="","",'Plant Data'!A195)</f>
        <v/>
      </c>
    </row>
    <row r="196" spans="1:1" x14ac:dyDescent="0.2">
      <c r="A196" t="str">
        <f>IF('Plant Data'!A196="","",'Plant Data'!A196)</f>
        <v/>
      </c>
    </row>
    <row r="197" spans="1:1" x14ac:dyDescent="0.2">
      <c r="A197" t="str">
        <f>IF('Plant Data'!A197="","",'Plant Data'!A197)</f>
        <v/>
      </c>
    </row>
    <row r="198" spans="1:1" x14ac:dyDescent="0.2">
      <c r="A198" t="str">
        <f>IF('Plant Data'!A198="","",'Plant Data'!A198)</f>
        <v/>
      </c>
    </row>
    <row r="199" spans="1:1" x14ac:dyDescent="0.2">
      <c r="A199" t="str">
        <f>IF('Plant Data'!A199="","",'Plant Data'!A199)</f>
        <v/>
      </c>
    </row>
    <row r="200" spans="1:1" x14ac:dyDescent="0.2">
      <c r="A200" t="str">
        <f>IF('Plant Data'!A200="","",'Plant Data'!A200)</f>
        <v/>
      </c>
    </row>
    <row r="201" spans="1:1" x14ac:dyDescent="0.2">
      <c r="A201" t="str">
        <f>IF('Plant Data'!A201="","",'Plant Data'!A201)</f>
        <v/>
      </c>
    </row>
    <row r="202" spans="1:1" x14ac:dyDescent="0.2">
      <c r="A202" t="str">
        <f>IF('Plant Data'!A202="","",'Plant Data'!A202)</f>
        <v/>
      </c>
    </row>
    <row r="203" spans="1:1" x14ac:dyDescent="0.2">
      <c r="A203" t="str">
        <f>IF('Plant Data'!A203="","",'Plant Data'!A203)</f>
        <v/>
      </c>
    </row>
    <row r="204" spans="1:1" x14ac:dyDescent="0.2">
      <c r="A204" t="str">
        <f>IF('Plant Data'!A204="","",'Plant Data'!A204)</f>
        <v/>
      </c>
    </row>
    <row r="205" spans="1:1" x14ac:dyDescent="0.2">
      <c r="A205" t="str">
        <f>IF('Plant Data'!A205="","",'Plant Data'!A205)</f>
        <v/>
      </c>
    </row>
    <row r="206" spans="1:1" x14ac:dyDescent="0.2">
      <c r="A206" t="str">
        <f>IF('Plant Data'!A206="","",'Plant Data'!A206)</f>
        <v/>
      </c>
    </row>
    <row r="207" spans="1:1" x14ac:dyDescent="0.2">
      <c r="A207" t="str">
        <f>IF('Plant Data'!A207="","",'Plant Data'!A207)</f>
        <v/>
      </c>
    </row>
    <row r="208" spans="1:1" x14ac:dyDescent="0.2">
      <c r="A208" t="str">
        <f>IF('Plant Data'!A208="","",'Plant Data'!A208)</f>
        <v/>
      </c>
    </row>
    <row r="209" spans="1:1" x14ac:dyDescent="0.2">
      <c r="A209" t="str">
        <f>IF('Plant Data'!A209="","",'Plant Data'!A209)</f>
        <v/>
      </c>
    </row>
    <row r="210" spans="1:1" x14ac:dyDescent="0.2">
      <c r="A210" t="str">
        <f>IF('Plant Data'!A210="","",'Plant Data'!A210)</f>
        <v/>
      </c>
    </row>
    <row r="211" spans="1:1" x14ac:dyDescent="0.2">
      <c r="A211" t="str">
        <f>IF('Plant Data'!A211="","",'Plant Data'!A211)</f>
        <v/>
      </c>
    </row>
    <row r="212" spans="1:1" x14ac:dyDescent="0.2">
      <c r="A212" t="str">
        <f>IF('Plant Data'!A212="","",'Plant Data'!A212)</f>
        <v/>
      </c>
    </row>
    <row r="213" spans="1:1" x14ac:dyDescent="0.2">
      <c r="A213" t="str">
        <f>IF('Plant Data'!A213="","",'Plant Data'!A213)</f>
        <v/>
      </c>
    </row>
    <row r="214" spans="1:1" x14ac:dyDescent="0.2">
      <c r="A214" t="str">
        <f>IF('Plant Data'!A214="","",'Plant Data'!A214)</f>
        <v/>
      </c>
    </row>
    <row r="215" spans="1:1" x14ac:dyDescent="0.2">
      <c r="A215" t="str">
        <f>IF('Plant Data'!A215="","",'Plant Data'!A215)</f>
        <v/>
      </c>
    </row>
    <row r="216" spans="1:1" x14ac:dyDescent="0.2">
      <c r="A216" t="str">
        <f>IF('Plant Data'!A216="","",'Plant Data'!A216)</f>
        <v/>
      </c>
    </row>
    <row r="217" spans="1:1" x14ac:dyDescent="0.2">
      <c r="A217" t="str">
        <f>IF('Plant Data'!A217="","",'Plant Data'!A217)</f>
        <v/>
      </c>
    </row>
    <row r="218" spans="1:1" x14ac:dyDescent="0.2">
      <c r="A218" t="str">
        <f>IF('Plant Data'!A218="","",'Plant Data'!A218)</f>
        <v/>
      </c>
    </row>
    <row r="219" spans="1:1" x14ac:dyDescent="0.2">
      <c r="A219" t="str">
        <f>IF('Plant Data'!A219="","",'Plant Data'!A219)</f>
        <v/>
      </c>
    </row>
    <row r="220" spans="1:1" x14ac:dyDescent="0.2">
      <c r="A220" t="str">
        <f>IF('Plant Data'!A220="","",'Plant Data'!A220)</f>
        <v/>
      </c>
    </row>
    <row r="221" spans="1:1" x14ac:dyDescent="0.2">
      <c r="A221" t="str">
        <f>IF('Plant Data'!A221="","",'Plant Data'!A221)</f>
        <v/>
      </c>
    </row>
    <row r="222" spans="1:1" x14ac:dyDescent="0.2">
      <c r="A222" t="str">
        <f>IF('Plant Data'!A222="","",'Plant Data'!A222)</f>
        <v/>
      </c>
    </row>
    <row r="223" spans="1:1" x14ac:dyDescent="0.2">
      <c r="A223" t="str">
        <f>IF('Plant Data'!A223="","",'Plant Data'!A223)</f>
        <v/>
      </c>
    </row>
    <row r="224" spans="1:1" x14ac:dyDescent="0.2">
      <c r="A224" t="str">
        <f>IF('Plant Data'!A224="","",'Plant Data'!A224)</f>
        <v/>
      </c>
    </row>
    <row r="225" spans="1:1" x14ac:dyDescent="0.2">
      <c r="A225" t="str">
        <f>IF('Plant Data'!A225="","",'Plant Data'!A225)</f>
        <v/>
      </c>
    </row>
    <row r="226" spans="1:1" x14ac:dyDescent="0.2">
      <c r="A226" t="str">
        <f>IF('Plant Data'!A226="","",'Plant Data'!A226)</f>
        <v/>
      </c>
    </row>
    <row r="227" spans="1:1" x14ac:dyDescent="0.2">
      <c r="A227" t="str">
        <f>IF('Plant Data'!A227="","",'Plant Data'!A227)</f>
        <v/>
      </c>
    </row>
    <row r="228" spans="1:1" x14ac:dyDescent="0.2">
      <c r="A228" t="str">
        <f>IF('Plant Data'!A228="","",'Plant Data'!A228)</f>
        <v/>
      </c>
    </row>
    <row r="229" spans="1:1" x14ac:dyDescent="0.2">
      <c r="A229" t="str">
        <f>IF('Plant Data'!A229="","",'Plant Data'!A229)</f>
        <v/>
      </c>
    </row>
    <row r="230" spans="1:1" x14ac:dyDescent="0.2">
      <c r="A230" t="str">
        <f>IF('Plant Data'!A230="","",'Plant Data'!A230)</f>
        <v/>
      </c>
    </row>
    <row r="231" spans="1:1" x14ac:dyDescent="0.2">
      <c r="A231" t="str">
        <f>IF('Plant Data'!A231="","",'Plant Data'!A231)</f>
        <v/>
      </c>
    </row>
    <row r="232" spans="1:1" x14ac:dyDescent="0.2">
      <c r="A232" t="str">
        <f>IF('Plant Data'!A232="","",'Plant Data'!A232)</f>
        <v/>
      </c>
    </row>
    <row r="233" spans="1:1" x14ac:dyDescent="0.2">
      <c r="A233" t="str">
        <f>IF('Plant Data'!A233="","",'Plant Data'!A233)</f>
        <v/>
      </c>
    </row>
    <row r="234" spans="1:1" x14ac:dyDescent="0.2">
      <c r="A234" t="str">
        <f>IF('Plant Data'!A234="","",'Plant Data'!A234)</f>
        <v/>
      </c>
    </row>
    <row r="235" spans="1:1" x14ac:dyDescent="0.2">
      <c r="A235" t="str">
        <f>IF('Plant Data'!A235="","",'Plant Data'!A235)</f>
        <v/>
      </c>
    </row>
    <row r="236" spans="1:1" x14ac:dyDescent="0.2">
      <c r="A236" t="str">
        <f>IF('Plant Data'!A236="","",'Plant Data'!A236)</f>
        <v/>
      </c>
    </row>
    <row r="237" spans="1:1" x14ac:dyDescent="0.2">
      <c r="A237" t="str">
        <f>IF('Plant Data'!A237="","",'Plant Data'!A237)</f>
        <v/>
      </c>
    </row>
    <row r="238" spans="1:1" x14ac:dyDescent="0.2">
      <c r="A238" t="str">
        <f>IF('Plant Data'!A238="","",'Plant Data'!A238)</f>
        <v/>
      </c>
    </row>
    <row r="239" spans="1:1" x14ac:dyDescent="0.2">
      <c r="A239" t="str">
        <f>IF('Plant Data'!A239="","",'Plant Data'!A239)</f>
        <v/>
      </c>
    </row>
    <row r="240" spans="1:1" x14ac:dyDescent="0.2">
      <c r="A240" t="str">
        <f>IF('Plant Data'!A240="","",'Plant Data'!A240)</f>
        <v/>
      </c>
    </row>
    <row r="241" spans="1:1" x14ac:dyDescent="0.2">
      <c r="A241" t="str">
        <f>IF('Plant Data'!A241="","",'Plant Data'!A241)</f>
        <v/>
      </c>
    </row>
    <row r="242" spans="1:1" x14ac:dyDescent="0.2">
      <c r="A242" t="str">
        <f>IF('Plant Data'!A242="","",'Plant Data'!A242)</f>
        <v/>
      </c>
    </row>
    <row r="243" spans="1:1" x14ac:dyDescent="0.2">
      <c r="A243" t="str">
        <f>IF('Plant Data'!A243="","",'Plant Data'!A243)</f>
        <v/>
      </c>
    </row>
    <row r="244" spans="1:1" x14ac:dyDescent="0.2">
      <c r="A244" t="str">
        <f>IF('Plant Data'!A244="","",'Plant Data'!A244)</f>
        <v/>
      </c>
    </row>
    <row r="245" spans="1:1" x14ac:dyDescent="0.2">
      <c r="A245" t="str">
        <f>IF('Plant Data'!A245="","",'Plant Data'!A245)</f>
        <v/>
      </c>
    </row>
    <row r="246" spans="1:1" x14ac:dyDescent="0.2">
      <c r="A246" t="str">
        <f>IF('Plant Data'!A246="","",'Plant Data'!A246)</f>
        <v/>
      </c>
    </row>
    <row r="247" spans="1:1" x14ac:dyDescent="0.2">
      <c r="A247" t="str">
        <f>IF('Plant Data'!A247="","",'Plant Data'!A247)</f>
        <v/>
      </c>
    </row>
    <row r="248" spans="1:1" x14ac:dyDescent="0.2">
      <c r="A248" t="str">
        <f>IF('Plant Data'!A248="","",'Plant Data'!A248)</f>
        <v/>
      </c>
    </row>
    <row r="249" spans="1:1" x14ac:dyDescent="0.2">
      <c r="A249" t="str">
        <f>IF('Plant Data'!A249="","",'Plant Data'!A249)</f>
        <v/>
      </c>
    </row>
    <row r="250" spans="1:1" x14ac:dyDescent="0.2">
      <c r="A250" t="str">
        <f>IF('Plant Data'!A250="","",'Plant Data'!A250)</f>
        <v/>
      </c>
    </row>
    <row r="251" spans="1:1" x14ac:dyDescent="0.2">
      <c r="A251" t="str">
        <f>IF('Plant Data'!A251="","",'Plant Data'!A251)</f>
        <v/>
      </c>
    </row>
    <row r="252" spans="1:1" x14ac:dyDescent="0.2">
      <c r="A252" t="str">
        <f>IF('Plant Data'!A252="","",'Plant Data'!A252)</f>
        <v/>
      </c>
    </row>
    <row r="253" spans="1:1" x14ac:dyDescent="0.2">
      <c r="A253" t="str">
        <f>IF('Plant Data'!A253="","",'Plant Data'!A253)</f>
        <v/>
      </c>
    </row>
    <row r="254" spans="1:1" x14ac:dyDescent="0.2">
      <c r="A254" t="str">
        <f>IF('Plant Data'!A254="","",'Plant Data'!A254)</f>
        <v/>
      </c>
    </row>
    <row r="255" spans="1:1" x14ac:dyDescent="0.2">
      <c r="A255" t="str">
        <f>IF('Plant Data'!A255="","",'Plant Data'!A255)</f>
        <v/>
      </c>
    </row>
    <row r="256" spans="1:1" x14ac:dyDescent="0.2">
      <c r="A256" t="str">
        <f>IF('Plant Data'!A256="","",'Plant Data'!A256)</f>
        <v/>
      </c>
    </row>
    <row r="257" spans="1:1" x14ac:dyDescent="0.2">
      <c r="A257" t="str">
        <f>IF('Plant Data'!A257="","",'Plant Data'!A257)</f>
        <v/>
      </c>
    </row>
    <row r="258" spans="1:1" x14ac:dyDescent="0.2">
      <c r="A258" t="str">
        <f>IF('Plant Data'!A258="","",'Plant Data'!A258)</f>
        <v/>
      </c>
    </row>
    <row r="259" spans="1:1" x14ac:dyDescent="0.2">
      <c r="A259" t="str">
        <f>IF('Plant Data'!A259="","",'Plant Data'!A259)</f>
        <v/>
      </c>
    </row>
    <row r="260" spans="1:1" x14ac:dyDescent="0.2">
      <c r="A260" t="str">
        <f>IF('Plant Data'!A260="","",'Plant Data'!A260)</f>
        <v/>
      </c>
    </row>
    <row r="261" spans="1:1" x14ac:dyDescent="0.2">
      <c r="A261" t="str">
        <f>IF('Plant Data'!A261="","",'Plant Data'!A261)</f>
        <v/>
      </c>
    </row>
    <row r="262" spans="1:1" x14ac:dyDescent="0.2">
      <c r="A262" t="str">
        <f>IF('Plant Data'!A262="","",'Plant Data'!A262)</f>
        <v/>
      </c>
    </row>
    <row r="263" spans="1:1" x14ac:dyDescent="0.2">
      <c r="A263" t="str">
        <f>IF('Plant Data'!A263="","",'Plant Data'!A263)</f>
        <v/>
      </c>
    </row>
    <row r="264" spans="1:1" x14ac:dyDescent="0.2">
      <c r="A264" t="str">
        <f>IF('Plant Data'!A264="","",'Plant Data'!A264)</f>
        <v/>
      </c>
    </row>
    <row r="265" spans="1:1" x14ac:dyDescent="0.2">
      <c r="A265" t="str">
        <f>IF('Plant Data'!A265="","",'Plant Data'!A265)</f>
        <v/>
      </c>
    </row>
    <row r="266" spans="1:1" x14ac:dyDescent="0.2">
      <c r="A266" t="str">
        <f>IF('Plant Data'!A266="","",'Plant Data'!A266)</f>
        <v/>
      </c>
    </row>
    <row r="267" spans="1:1" x14ac:dyDescent="0.2">
      <c r="A267" t="str">
        <f>IF('Plant Data'!A267="","",'Plant Data'!A267)</f>
        <v/>
      </c>
    </row>
    <row r="268" spans="1:1" x14ac:dyDescent="0.2">
      <c r="A268" t="str">
        <f>IF('Plant Data'!A268="","",'Plant Data'!A268)</f>
        <v/>
      </c>
    </row>
    <row r="269" spans="1:1" x14ac:dyDescent="0.2">
      <c r="A269" t="str">
        <f>IF('Plant Data'!A269="","",'Plant Data'!A269)</f>
        <v/>
      </c>
    </row>
    <row r="270" spans="1:1" x14ac:dyDescent="0.2">
      <c r="A270" t="str">
        <f>IF('Plant Data'!A270="","",'Plant Data'!A270)</f>
        <v/>
      </c>
    </row>
    <row r="271" spans="1:1" x14ac:dyDescent="0.2">
      <c r="A271" t="str">
        <f>IF('Plant Data'!A271="","",'Plant Data'!A271)</f>
        <v/>
      </c>
    </row>
    <row r="272" spans="1:1" x14ac:dyDescent="0.2">
      <c r="A272" t="str">
        <f>IF('Plant Data'!A272="","",'Plant Data'!A272)</f>
        <v/>
      </c>
    </row>
    <row r="273" spans="1:1" x14ac:dyDescent="0.2">
      <c r="A273" t="str">
        <f>IF('Plant Data'!A273="","",'Plant Data'!A273)</f>
        <v/>
      </c>
    </row>
    <row r="274" spans="1:1" x14ac:dyDescent="0.2">
      <c r="A274" t="str">
        <f>IF('Plant Data'!A274="","",'Plant Data'!A274)</f>
        <v/>
      </c>
    </row>
    <row r="275" spans="1:1" x14ac:dyDescent="0.2">
      <c r="A275" t="str">
        <f>IF('Plant Data'!A275="","",'Plant Data'!A275)</f>
        <v/>
      </c>
    </row>
    <row r="276" spans="1:1" x14ac:dyDescent="0.2">
      <c r="A276" t="str">
        <f>IF('Plant Data'!A276="","",'Plant Data'!A276)</f>
        <v/>
      </c>
    </row>
    <row r="277" spans="1:1" x14ac:dyDescent="0.2">
      <c r="A277" t="str">
        <f>IF('Plant Data'!A277="","",'Plant Data'!A277)</f>
        <v/>
      </c>
    </row>
    <row r="278" spans="1:1" x14ac:dyDescent="0.2">
      <c r="A278" t="str">
        <f>IF('Plant Data'!A278="","",'Plant Data'!A278)</f>
        <v/>
      </c>
    </row>
    <row r="279" spans="1:1" x14ac:dyDescent="0.2">
      <c r="A279" t="str">
        <f>IF('Plant Data'!A279="","",'Plant Data'!A279)</f>
        <v/>
      </c>
    </row>
    <row r="280" spans="1:1" x14ac:dyDescent="0.2">
      <c r="A280" t="str">
        <f>IF('Plant Data'!A280="","",'Plant Data'!A280)</f>
        <v/>
      </c>
    </row>
    <row r="281" spans="1:1" x14ac:dyDescent="0.2">
      <c r="A281" t="str">
        <f>IF('Plant Data'!A281="","",'Plant Data'!A281)</f>
        <v/>
      </c>
    </row>
    <row r="282" spans="1:1" x14ac:dyDescent="0.2">
      <c r="A282" t="str">
        <f>IF('Plant Data'!A282="","",'Plant Data'!A282)</f>
        <v/>
      </c>
    </row>
    <row r="283" spans="1:1" x14ac:dyDescent="0.2">
      <c r="A283" t="str">
        <f>IF('Plant Data'!A283="","",'Plant Data'!A283)</f>
        <v/>
      </c>
    </row>
    <row r="284" spans="1:1" x14ac:dyDescent="0.2">
      <c r="A284" t="str">
        <f>IF('Plant Data'!A284="","",'Plant Data'!A284)</f>
        <v/>
      </c>
    </row>
    <row r="285" spans="1:1" x14ac:dyDescent="0.2">
      <c r="A285" t="str">
        <f>IF('Plant Data'!A285="","",'Plant Data'!A285)</f>
        <v/>
      </c>
    </row>
    <row r="286" spans="1:1" x14ac:dyDescent="0.2">
      <c r="A286" t="str">
        <f>IF('Plant Data'!A286="","",'Plant Data'!A286)</f>
        <v/>
      </c>
    </row>
    <row r="287" spans="1:1" x14ac:dyDescent="0.2">
      <c r="A287" t="str">
        <f>IF('Plant Data'!A287="","",'Plant Data'!A287)</f>
        <v/>
      </c>
    </row>
    <row r="288" spans="1:1" x14ac:dyDescent="0.2">
      <c r="A288" t="str">
        <f>IF('Plant Data'!A288="","",'Plant Data'!A288)</f>
        <v/>
      </c>
    </row>
    <row r="289" spans="1:21" x14ac:dyDescent="0.2">
      <c r="A289" t="str">
        <f>IF('Plant Data'!A289="","",'Plant Data'!A289)</f>
        <v/>
      </c>
    </row>
    <row r="290" spans="1:21" x14ac:dyDescent="0.2">
      <c r="A290" t="str">
        <f>IF('Plant Data'!A290="","",'Plant Data'!A290)</f>
        <v/>
      </c>
    </row>
    <row r="291" spans="1:21" x14ac:dyDescent="0.2">
      <c r="A291" t="str">
        <f>IF('Plant Data'!A291="","",'Plant Data'!A291)</f>
        <v/>
      </c>
    </row>
    <row r="292" spans="1:21" x14ac:dyDescent="0.2">
      <c r="A292" t="str">
        <f>IF('Plant Data'!A292="","",'Plant Data'!A292)</f>
        <v/>
      </c>
    </row>
    <row r="293" spans="1:21" x14ac:dyDescent="0.2">
      <c r="A293" t="str">
        <f>IF('Plant Data'!A293="","",'Plant Data'!A293)</f>
        <v/>
      </c>
    </row>
    <row r="294" spans="1:21" x14ac:dyDescent="0.2">
      <c r="A294" t="str">
        <f>IF('Plant Data'!A294="","",'Plant Data'!A294)</f>
        <v/>
      </c>
    </row>
    <row r="295" spans="1:21" x14ac:dyDescent="0.2">
      <c r="A295" t="str">
        <f>IF('Plant Data'!A295="","",'Plant Data'!A295)</f>
        <v/>
      </c>
    </row>
    <row r="296" spans="1:21" x14ac:dyDescent="0.2">
      <c r="A296" t="str">
        <f>IF('Plant Data'!A296="","",'Plant Data'!A296)</f>
        <v/>
      </c>
    </row>
    <row r="297" spans="1:21" x14ac:dyDescent="0.2">
      <c r="A297" t="str">
        <f>IF('Plant Data'!A297="","",'Plant Data'!A297)</f>
        <v/>
      </c>
    </row>
    <row r="298" spans="1:21" x14ac:dyDescent="0.2">
      <c r="A298" t="str">
        <f>IF('Plant Data'!A298="","",'Plant Data'!A298)</f>
        <v/>
      </c>
    </row>
    <row r="299" spans="1:21" x14ac:dyDescent="0.2">
      <c r="A299" t="str">
        <f>IF('Plant Data'!A299="","",'Plant Data'!A299)</f>
        <v/>
      </c>
    </row>
    <row r="300" spans="1:21" ht="16" thickBot="1" x14ac:dyDescent="0.25">
      <c r="A300" s="48" t="str">
        <f>IF('Plant Data'!A300="","",'Plant Data'!A300)</f>
        <v/>
      </c>
      <c r="C300" s="48"/>
      <c r="D300" s="48"/>
      <c r="E300" s="48"/>
      <c r="F300" s="48"/>
      <c r="G300" s="48"/>
      <c r="H300" s="48"/>
      <c r="I300" s="48"/>
      <c r="J300" s="48"/>
      <c r="K300" s="48"/>
      <c r="L300" s="48"/>
      <c r="M300" s="48"/>
      <c r="N300" s="48"/>
      <c r="O300" s="48"/>
      <c r="P300" s="48"/>
      <c r="Q300" s="48"/>
      <c r="R300" s="48"/>
      <c r="S300" s="48"/>
      <c r="T300" s="48"/>
      <c r="U300" s="48"/>
    </row>
  </sheetData>
  <autoFilter ref="A3:AU3" xr:uid="{03C98107-0B48-4B4C-BA88-C1A778D125C8}"/>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13"/>
  <sheetViews>
    <sheetView showGridLines="0" topLeftCell="B1" zoomScale="106" workbookViewId="0">
      <selection activeCell="E7" sqref="E7:Q7"/>
    </sheetView>
  </sheetViews>
  <sheetFormatPr baseColWidth="10" defaultColWidth="8.83203125" defaultRowHeight="15" x14ac:dyDescent="0.2"/>
  <cols>
    <col min="1" max="1" width="25.5" customWidth="1"/>
    <col min="2" max="2" width="12.5" bestFit="1" customWidth="1"/>
    <col min="3" max="3" width="11.1640625" bestFit="1" customWidth="1"/>
    <col min="4" max="24" width="8.6640625" customWidth="1"/>
  </cols>
  <sheetData>
    <row r="1" spans="1:53" ht="47" x14ac:dyDescent="0.55000000000000004">
      <c r="A1" s="41" t="s">
        <v>0</v>
      </c>
      <c r="B1" s="41"/>
      <c r="C1" s="41"/>
      <c r="D1" s="42"/>
      <c r="E1" s="42"/>
      <c r="F1" s="42"/>
      <c r="G1" s="42"/>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row>
    <row r="2" spans="1:53" ht="26" x14ac:dyDescent="0.3">
      <c r="A2" s="43" t="s">
        <v>91</v>
      </c>
      <c r="B2" s="43"/>
      <c r="C2" s="43"/>
      <c r="D2" s="42"/>
      <c r="E2" s="42"/>
      <c r="F2" s="42"/>
      <c r="G2" s="42"/>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row>
    <row r="3" spans="1:53" x14ac:dyDescent="0.2">
      <c r="A3" s="44" t="s">
        <v>82</v>
      </c>
      <c r="B3" s="44" t="s">
        <v>83</v>
      </c>
      <c r="C3" s="44" t="s">
        <v>92</v>
      </c>
      <c r="D3" s="63">
        <f>Definitions!I33</f>
        <v>44197</v>
      </c>
      <c r="E3" s="63">
        <f>IFERROR(IF(EDATE(D3,12)&lt;(Definitions!$I$34+1),EDATE(D3,12),""),"")</f>
        <v>44562</v>
      </c>
      <c r="F3" s="63">
        <f>IFERROR(IF(EDATE(E3,12)&lt;(Definitions!$I$34+1),EDATE(E3,12),""),"")</f>
        <v>44927</v>
      </c>
      <c r="G3" s="63">
        <f>IFERROR(IF(EDATE(F3,12)&lt;(Definitions!$I$34+1),EDATE(F3,12),""),"")</f>
        <v>45292</v>
      </c>
      <c r="H3" s="63">
        <f>IFERROR(IF(EDATE(G3,12)&lt;(Definitions!$I$34+1),EDATE(G3,12),""),"")</f>
        <v>45658</v>
      </c>
      <c r="I3" s="63">
        <f>IFERROR(IF(EDATE(H3,12)&lt;(Definitions!$I$34+1),EDATE(H3,12),""),"")</f>
        <v>46023</v>
      </c>
      <c r="J3" s="63">
        <f>IFERROR(IF(EDATE(I3,12)&lt;(Definitions!$I$34+1),EDATE(I3,12),""),"")</f>
        <v>46388</v>
      </c>
      <c r="K3" s="63">
        <f>IFERROR(IF(EDATE(J3,12)&lt;(Definitions!$I$34+1),EDATE(J3,12),""),"")</f>
        <v>46753</v>
      </c>
      <c r="L3" s="63">
        <f>IFERROR(IF(EDATE(K3,12)&lt;(Definitions!$I$34+1),EDATE(K3,12),""),"")</f>
        <v>47119</v>
      </c>
      <c r="M3" s="63">
        <f>IFERROR(IF(EDATE(L3,12)&lt;(Definitions!$I$34+1),EDATE(L3,12),""),"")</f>
        <v>47484</v>
      </c>
      <c r="N3" s="63">
        <f>IFERROR(IF(EDATE(M3,12)&lt;(Definitions!$I$34+1),EDATE(M3,12),""),"")</f>
        <v>47849</v>
      </c>
      <c r="O3" s="63">
        <f>IFERROR(IF(EDATE(N3,12)&lt;(Definitions!$I$34+1),EDATE(N3,12),""),"")</f>
        <v>48214</v>
      </c>
      <c r="P3" s="63">
        <f>IFERROR(IF(EDATE(O3,12)&lt;(Definitions!$I$34+1),EDATE(O3,12),""),"")</f>
        <v>48580</v>
      </c>
      <c r="Q3" s="63">
        <f>IFERROR(IF(EDATE(P3,12)&lt;(Definitions!$I$34+1),EDATE(P3,12),""),"")</f>
        <v>48945</v>
      </c>
      <c r="R3" s="63">
        <f>IFERROR(IF(EDATE(Q3,12)&lt;(Definitions!$I$34+1),EDATE(Q3,12),""),"")</f>
        <v>49310</v>
      </c>
      <c r="S3" s="63">
        <f>IFERROR(IF(EDATE(R3,12)&lt;(Definitions!$I$34+1),EDATE(R3,12),""),"")</f>
        <v>49675</v>
      </c>
      <c r="T3" s="63">
        <f>IFERROR(IF(EDATE(S3,12)&lt;(Definitions!$I$34+1),EDATE(S3,12),""),"")</f>
        <v>50041</v>
      </c>
      <c r="U3" s="63">
        <f>IFERROR(IF(EDATE(T3,12)&lt;(Definitions!$I$34+1),EDATE(T3,12),""),"")</f>
        <v>50406</v>
      </c>
      <c r="V3" s="63">
        <f>IFERROR(IF(EDATE(U3,12)&lt;(Definitions!$I$34+1),EDATE(U3,12),""),"")</f>
        <v>50771</v>
      </c>
      <c r="W3" s="63">
        <f>IFERROR(IF(EDATE(V3,12)&lt;(Definitions!$I$34+1),EDATE(V3,12),""),"")</f>
        <v>51136</v>
      </c>
      <c r="X3" s="63">
        <f>IFERROR(IF(EDATE(W3,12)&lt;(Definitions!$I$34+1),EDATE(W3,12),""),"")</f>
        <v>51502</v>
      </c>
      <c r="Y3" s="63">
        <f>IFERROR(IF(EDATE(X3,12)&lt;(Definitions!$I$34+1),EDATE(X3,12),""),"")</f>
        <v>51867</v>
      </c>
      <c r="Z3" s="63">
        <f>IFERROR(IF(EDATE(Y3,12)&lt;(Definitions!$I$34+1),EDATE(Y3,12),""),"")</f>
        <v>52232</v>
      </c>
      <c r="AA3" s="63">
        <f>IFERROR(IF(EDATE(Z3,12)&lt;(Definitions!$I$34+1),EDATE(Z3,12),""),"")</f>
        <v>52597</v>
      </c>
      <c r="AB3" s="63">
        <f>IFERROR(IF(EDATE(AA3,12)&lt;(Definitions!$I$34+1),EDATE(AA3,12),""),"")</f>
        <v>52963</v>
      </c>
      <c r="AC3" s="63">
        <f>IFERROR(IF(EDATE(AB3,12)&lt;(Definitions!$I$34+1),EDATE(AB3,12),""),"")</f>
        <v>53328</v>
      </c>
      <c r="AD3" s="63">
        <f>IFERROR(IF(EDATE(AC3,12)&lt;(Definitions!$I$34+1),EDATE(AC3,12),""),"")</f>
        <v>53693</v>
      </c>
      <c r="AE3" s="63">
        <f>IFERROR(IF(EDATE(AD3,12)&lt;(Definitions!$I$34+1),EDATE(AD3,12),""),"")</f>
        <v>54058</v>
      </c>
      <c r="AF3" s="63">
        <f>IFERROR(IF(EDATE(AE3,12)&lt;(Definitions!$I$34+1),EDATE(AE3,12),""),"")</f>
        <v>54424</v>
      </c>
      <c r="AG3" s="63">
        <f>IFERROR(IF(EDATE(AF3,12)&lt;(Definitions!$I$34+1),EDATE(AF3,12),""),"")</f>
        <v>54789</v>
      </c>
      <c r="AH3" s="63">
        <f>IFERROR(IF(EDATE(AG3,12)&lt;(Definitions!$I$34+1),EDATE(AG3,12),""),"")</f>
        <v>55154</v>
      </c>
      <c r="AI3" s="63">
        <f>IFERROR(IF(EDATE(AH3,12)&lt;(Definitions!$I$34+1),EDATE(AH3,12),""),"")</f>
        <v>55519</v>
      </c>
      <c r="AJ3" s="63">
        <f>IFERROR(IF(EDATE(AI3,12)&lt;(Definitions!$I$34+1),EDATE(AI3,12),""),"")</f>
        <v>55885</v>
      </c>
      <c r="AK3" s="63">
        <f>IFERROR(IF(EDATE(AJ3,12)&lt;(Definitions!$I$34+1),EDATE(AJ3,12),""),"")</f>
        <v>56250</v>
      </c>
      <c r="AL3" s="63">
        <f>IFERROR(IF(EDATE(AK3,12)&lt;(Definitions!$I$34+1),EDATE(AK3,12),""),"")</f>
        <v>56615</v>
      </c>
      <c r="AM3" s="63">
        <f>IFERROR(IF(EDATE(AL3,12)&lt;(Definitions!$I$34+1),EDATE(AL3,12),""),"")</f>
        <v>56980</v>
      </c>
      <c r="AN3" s="63">
        <f>IFERROR(IF(EDATE(AM3,12)&lt;(Definitions!$I$34+1),EDATE(AM3,12),""),"")</f>
        <v>57346</v>
      </c>
      <c r="AO3" s="63">
        <f>IFERROR(IF(EDATE(AN3,12)&lt;(Definitions!$I$34+1),EDATE(AN3,12),""),"")</f>
        <v>57711</v>
      </c>
      <c r="AP3" s="63">
        <f>IFERROR(IF(EDATE(AO3,12)&lt;(Definitions!$I$34+1),EDATE(AO3,12),""),"")</f>
        <v>58076</v>
      </c>
      <c r="AQ3" s="63">
        <f>IFERROR(IF(EDATE(AP3,12)&lt;(Definitions!$I$34+1),EDATE(AP3,12),""),"")</f>
        <v>58441</v>
      </c>
      <c r="AR3" s="63">
        <f>IFERROR(IF(EDATE(AQ3,12)&lt;(Definitions!$I$34+1),EDATE(AQ3,12),""),"")</f>
        <v>58807</v>
      </c>
      <c r="AS3" s="63">
        <f>IFERROR(IF(EDATE(AR3,12)&lt;(Definitions!$I$34+1),EDATE(AR3,12),""),"")</f>
        <v>59172</v>
      </c>
      <c r="AT3" s="63">
        <f>IFERROR(IF(EDATE(AS3,12)&lt;(Definitions!$I$34+1),EDATE(AS3,12),""),"")</f>
        <v>59537</v>
      </c>
      <c r="AU3" s="63">
        <f>IFERROR(IF(EDATE(AT3,12)&lt;(Definitions!$I$34+1),EDATE(AT3,12),""),"")</f>
        <v>59902</v>
      </c>
      <c r="AV3" s="63">
        <f>IFERROR(IF(EDATE(AU3,12)&lt;(Definitions!$I$34+1),EDATE(AU3,12),""),"")</f>
        <v>60268</v>
      </c>
      <c r="AW3" s="63">
        <f>IFERROR(IF(EDATE(AV3,12)&lt;(Definitions!$I$34+1),EDATE(AV3,12),""),"")</f>
        <v>60633</v>
      </c>
      <c r="AX3" s="63">
        <f>IFERROR(IF(EDATE(AW3,12)&lt;(Definitions!$I$34+1),EDATE(AW3,12),""),"")</f>
        <v>60998</v>
      </c>
      <c r="AY3" s="63">
        <f>IFERROR(IF(EDATE(AX3,12)&lt;(Definitions!$I$34+1),EDATE(AX3,12),""),"")</f>
        <v>61363</v>
      </c>
      <c r="AZ3" s="63">
        <f>IFERROR(IF(EDATE(AY3,12)&lt;(Definitions!$I$34+1),EDATE(AY3,12),""),"")</f>
        <v>61729</v>
      </c>
      <c r="BA3" s="63">
        <f>IFERROR(IF(EDATE(AZ3,12)&lt;(Definitions!$I$34+1),EDATE(AZ3,12),""),"")</f>
        <v>62094</v>
      </c>
    </row>
    <row r="4" spans="1:53" x14ac:dyDescent="0.2">
      <c r="A4" s="65" t="s">
        <v>49</v>
      </c>
      <c r="B4" s="65"/>
      <c r="C4" s="65" t="s">
        <v>93</v>
      </c>
      <c r="D4" s="50"/>
      <c r="E4" s="50"/>
      <c r="F4" s="50"/>
      <c r="G4" s="50"/>
      <c r="H4" s="50"/>
      <c r="I4" s="50"/>
      <c r="J4" s="50"/>
      <c r="K4" s="50"/>
      <c r="L4" s="50"/>
      <c r="M4" s="50"/>
      <c r="N4" s="50"/>
      <c r="O4" s="50"/>
      <c r="P4" s="50"/>
      <c r="Q4" s="50"/>
      <c r="R4" s="50"/>
      <c r="S4" s="50"/>
      <c r="T4" s="50"/>
      <c r="U4" s="50"/>
      <c r="V4" s="50"/>
      <c r="W4" s="50"/>
    </row>
    <row r="5" spans="1:53" x14ac:dyDescent="0.2">
      <c r="A5" s="65" t="s">
        <v>49</v>
      </c>
      <c r="B5" s="65"/>
      <c r="C5" s="65" t="s">
        <v>90</v>
      </c>
      <c r="D5" s="65" t="s">
        <v>94</v>
      </c>
    </row>
    <row r="6" spans="1:53" x14ac:dyDescent="0.2">
      <c r="A6" s="65" t="s">
        <v>49</v>
      </c>
      <c r="B6" s="65"/>
      <c r="C6" s="65" t="s">
        <v>95</v>
      </c>
    </row>
    <row r="7" spans="1:53" x14ac:dyDescent="0.2">
      <c r="A7" t="s">
        <v>96</v>
      </c>
      <c r="B7" s="39" t="str">
        <f>IF(Definitions!H25="","",Definitions!H25)</f>
        <v>PWRCOA001</v>
      </c>
      <c r="C7" t="str">
        <f>IF(Definitions!E25="","",Definitions!E25)</f>
        <v>BAU</v>
      </c>
      <c r="D7">
        <v>10</v>
      </c>
      <c r="E7">
        <v>10</v>
      </c>
      <c r="F7">
        <v>10</v>
      </c>
      <c r="G7">
        <v>10</v>
      </c>
      <c r="H7">
        <v>10</v>
      </c>
      <c r="I7">
        <v>10</v>
      </c>
      <c r="J7">
        <v>10</v>
      </c>
      <c r="K7">
        <v>10</v>
      </c>
      <c r="L7">
        <v>10</v>
      </c>
      <c r="M7">
        <v>10</v>
      </c>
      <c r="N7">
        <v>10</v>
      </c>
      <c r="O7">
        <v>10</v>
      </c>
      <c r="P7">
        <v>10</v>
      </c>
      <c r="Q7">
        <v>10</v>
      </c>
      <c r="R7">
        <v>2</v>
      </c>
      <c r="S7">
        <v>1</v>
      </c>
      <c r="T7">
        <v>1</v>
      </c>
      <c r="U7">
        <v>1</v>
      </c>
      <c r="V7">
        <v>1</v>
      </c>
      <c r="W7">
        <v>1</v>
      </c>
      <c r="X7">
        <v>1</v>
      </c>
      <c r="Y7">
        <v>1</v>
      </c>
      <c r="Z7">
        <v>1</v>
      </c>
      <c r="AA7">
        <v>1</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row>
    <row r="8" spans="1:53" x14ac:dyDescent="0.2">
      <c r="A8" t="s">
        <v>96</v>
      </c>
      <c r="B8" s="39" t="str">
        <f>IF(Definitions!H25="","",Definitions!H25)</f>
        <v>PWRCOA001</v>
      </c>
      <c r="C8" t="str">
        <f>IF(Definitions!E26="","",Definitions!E26)</f>
        <v xml:space="preserve">AD </v>
      </c>
      <c r="D8">
        <v>3</v>
      </c>
      <c r="E8">
        <v>3</v>
      </c>
      <c r="F8">
        <v>3</v>
      </c>
      <c r="G8">
        <v>3</v>
      </c>
      <c r="H8">
        <v>3</v>
      </c>
      <c r="I8">
        <v>2</v>
      </c>
      <c r="J8">
        <v>2</v>
      </c>
      <c r="K8">
        <v>2</v>
      </c>
      <c r="L8">
        <v>2</v>
      </c>
      <c r="M8">
        <v>2</v>
      </c>
      <c r="N8">
        <v>2</v>
      </c>
      <c r="O8">
        <v>2</v>
      </c>
      <c r="P8">
        <v>1</v>
      </c>
      <c r="Q8">
        <v>1</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row>
    <row r="12" spans="1:53" x14ac:dyDescent="0.2">
      <c r="C12" t="str">
        <f>IF(Definitions!E30="","",Definitions!E30)</f>
        <v xml:space="preserve"> </v>
      </c>
    </row>
    <row r="13" spans="1:53" x14ac:dyDescent="0.2">
      <c r="C13" t="str">
        <f>IF(Definitions!E31="","",Definitions!E31)</f>
        <v/>
      </c>
    </row>
  </sheetData>
  <autoFilter ref="A3:AW3" xr:uid="{00000000-0001-0000-0100-000000000000}"/>
  <phoneticPr fontId="5" type="noConversion"/>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53"/>
  <sheetViews>
    <sheetView showGridLines="0" zoomScale="125" zoomScaleNormal="100" workbookViewId="0">
      <selection activeCell="B53" sqref="B23:K53"/>
    </sheetView>
  </sheetViews>
  <sheetFormatPr baseColWidth="10" defaultColWidth="8.83203125" defaultRowHeight="15" x14ac:dyDescent="0.2"/>
  <cols>
    <col min="15" max="15" width="18.5" customWidth="1"/>
  </cols>
  <sheetData>
    <row r="1" spans="1:48" ht="47" x14ac:dyDescent="0.55000000000000004">
      <c r="A1" s="41" t="s">
        <v>0</v>
      </c>
      <c r="B1" s="42"/>
      <c r="C1" s="42"/>
      <c r="D1" s="42"/>
      <c r="E1" s="42"/>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row>
    <row r="2" spans="1:48" ht="26" x14ac:dyDescent="0.3">
      <c r="A2" s="43" t="s">
        <v>97</v>
      </c>
      <c r="B2" s="42"/>
      <c r="C2" s="42"/>
      <c r="D2" s="42"/>
      <c r="E2" s="42"/>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row>
    <row r="3" spans="1:48" x14ac:dyDescent="0.2">
      <c r="A3" s="1"/>
      <c r="B3" s="1" t="s">
        <v>98</v>
      </c>
      <c r="C3" s="1" t="s">
        <v>99</v>
      </c>
      <c r="D3" s="1" t="s">
        <v>100</v>
      </c>
      <c r="E3" s="1" t="s">
        <v>101</v>
      </c>
      <c r="F3" s="1" t="s">
        <v>102</v>
      </c>
      <c r="G3" s="1" t="s">
        <v>103</v>
      </c>
      <c r="H3" s="1" t="s">
        <v>104</v>
      </c>
      <c r="I3" s="1" t="s">
        <v>105</v>
      </c>
      <c r="J3" s="1" t="s">
        <v>106</v>
      </c>
      <c r="K3" s="1" t="s">
        <v>107</v>
      </c>
      <c r="M3" s="1"/>
      <c r="N3" s="1" t="s">
        <v>108</v>
      </c>
    </row>
    <row r="4" spans="1:48" x14ac:dyDescent="0.2">
      <c r="A4" s="1">
        <v>2021</v>
      </c>
      <c r="B4" s="4">
        <v>2.6877489013077298</v>
      </c>
      <c r="C4" s="4">
        <v>2.1857193822568202</v>
      </c>
      <c r="D4" s="4">
        <v>1.79697117260492</v>
      </c>
      <c r="E4" s="4">
        <v>1.4117966138214899</v>
      </c>
      <c r="F4" s="4">
        <v>1.1143359861655999</v>
      </c>
      <c r="G4" s="4">
        <v>0.90690841437426495</v>
      </c>
      <c r="H4" s="4">
        <v>0.76110006509476602</v>
      </c>
      <c r="I4" s="4">
        <v>0.63570875453159803</v>
      </c>
      <c r="J4" s="4">
        <v>0.49254047633778802</v>
      </c>
      <c r="K4" s="4">
        <v>1.4147338994588E-3</v>
      </c>
      <c r="M4" s="1" t="s">
        <v>98</v>
      </c>
      <c r="N4" s="5">
        <v>0.02</v>
      </c>
    </row>
    <row r="5" spans="1:48" x14ac:dyDescent="0.2">
      <c r="A5" s="1">
        <f>A4+1</f>
        <v>2022</v>
      </c>
      <c r="B5" s="4">
        <v>2.6877489013077298</v>
      </c>
      <c r="C5" s="4">
        <v>2.1857193822568202</v>
      </c>
      <c r="D5" s="4">
        <v>1.79697117260492</v>
      </c>
      <c r="E5" s="4">
        <v>1.4117966138214899</v>
      </c>
      <c r="F5" s="4">
        <v>1.1143359861655999</v>
      </c>
      <c r="G5" s="4">
        <v>0.90690841437426495</v>
      </c>
      <c r="H5" s="4">
        <v>0.76110006509476602</v>
      </c>
      <c r="I5" s="4">
        <v>0.63570875453159803</v>
      </c>
      <c r="J5" s="4">
        <v>0.49254047633778802</v>
      </c>
      <c r="K5" s="4">
        <v>1.4147338994588E-3</v>
      </c>
      <c r="M5" s="1" t="s">
        <v>99</v>
      </c>
      <c r="N5" s="5">
        <v>0.03</v>
      </c>
    </row>
    <row r="6" spans="1:48" x14ac:dyDescent="0.2">
      <c r="A6" s="1">
        <f t="shared" ref="A6:A53" si="0">A5+1</f>
        <v>2023</v>
      </c>
      <c r="B6" s="4">
        <v>2.6877489013077298</v>
      </c>
      <c r="C6" s="4">
        <v>2.1857193822568202</v>
      </c>
      <c r="D6" s="4">
        <v>1.79697117260492</v>
      </c>
      <c r="E6" s="4">
        <v>1.4117966138214899</v>
      </c>
      <c r="F6" s="4">
        <v>1.1143359861655999</v>
      </c>
      <c r="G6" s="4">
        <v>0.90690841437426495</v>
      </c>
      <c r="H6" s="4">
        <v>0.76110006509476602</v>
      </c>
      <c r="I6" s="4">
        <v>0.63570875453159803</v>
      </c>
      <c r="J6" s="4">
        <v>0.49254047633778802</v>
      </c>
      <c r="K6" s="4">
        <v>1.4147338994588E-3</v>
      </c>
      <c r="M6" s="1" t="s">
        <v>100</v>
      </c>
      <c r="N6" s="5">
        <v>0.04</v>
      </c>
    </row>
    <row r="7" spans="1:48" x14ac:dyDescent="0.2">
      <c r="A7" s="1">
        <f t="shared" si="0"/>
        <v>2024</v>
      </c>
      <c r="B7" s="4">
        <v>2.6877489013077298</v>
      </c>
      <c r="C7" s="4">
        <v>2.1857193822568202</v>
      </c>
      <c r="D7" s="4">
        <v>1.79697117260492</v>
      </c>
      <c r="E7" s="4">
        <v>1.4117966138214899</v>
      </c>
      <c r="F7" s="4">
        <v>1.1143359861655999</v>
      </c>
      <c r="G7" s="4">
        <v>0.90690841437426495</v>
      </c>
      <c r="H7" s="4">
        <v>0.76110006509476602</v>
      </c>
      <c r="I7" s="4">
        <v>0.63570875453159803</v>
      </c>
      <c r="J7" s="4">
        <v>0.49254047633778802</v>
      </c>
      <c r="K7" s="4">
        <v>1.4147338994588E-3</v>
      </c>
      <c r="M7" s="1" t="s">
        <v>101</v>
      </c>
      <c r="N7" s="5">
        <v>0.05</v>
      </c>
    </row>
    <row r="8" spans="1:48" x14ac:dyDescent="0.2">
      <c r="A8" s="1">
        <f t="shared" si="0"/>
        <v>2025</v>
      </c>
      <c r="B8" s="4">
        <v>2.6877489013077298</v>
      </c>
      <c r="C8" s="4">
        <v>2.1857193822568202</v>
      </c>
      <c r="D8" s="4">
        <v>1.79697117260492</v>
      </c>
      <c r="E8" s="4">
        <v>1.4117966138214899</v>
      </c>
      <c r="F8" s="4">
        <v>1.1143359861655999</v>
      </c>
      <c r="G8" s="4">
        <v>0.90690841437426495</v>
      </c>
      <c r="H8" s="4">
        <v>0.76110006509476602</v>
      </c>
      <c r="I8" s="4">
        <v>0.63570875453159803</v>
      </c>
      <c r="J8" s="4">
        <v>0.49254047633778802</v>
      </c>
      <c r="K8" s="4">
        <v>1.4147338994588E-3</v>
      </c>
      <c r="M8" s="1" t="s">
        <v>102</v>
      </c>
      <c r="N8" s="5">
        <v>0.05</v>
      </c>
    </row>
    <row r="9" spans="1:48" x14ac:dyDescent="0.2">
      <c r="A9" s="1">
        <f t="shared" si="0"/>
        <v>2026</v>
      </c>
      <c r="B9" s="4">
        <v>2.6877489013077298</v>
      </c>
      <c r="C9" s="4">
        <v>2.1857193822568202</v>
      </c>
      <c r="D9" s="4">
        <v>1.79697117260492</v>
      </c>
      <c r="E9" s="4">
        <v>1.4117966138214899</v>
      </c>
      <c r="F9" s="4">
        <v>1.1143359861655999</v>
      </c>
      <c r="G9" s="4">
        <v>0.90690841437426495</v>
      </c>
      <c r="H9" s="4">
        <v>0.76110006509476602</v>
      </c>
      <c r="I9" s="4">
        <v>0.63570875453159803</v>
      </c>
      <c r="J9" s="4">
        <v>0.49254047633778802</v>
      </c>
      <c r="K9" s="4">
        <v>1.4147338994588E-3</v>
      </c>
      <c r="M9" s="1" t="s">
        <v>103</v>
      </c>
      <c r="N9" s="5">
        <v>0.05</v>
      </c>
    </row>
    <row r="10" spans="1:48" x14ac:dyDescent="0.2">
      <c r="A10" s="1">
        <f t="shared" si="0"/>
        <v>2027</v>
      </c>
      <c r="B10" s="4">
        <v>2.6877489013077298</v>
      </c>
      <c r="C10" s="4">
        <v>2.1857193822568202</v>
      </c>
      <c r="D10" s="4">
        <v>1.79697117260492</v>
      </c>
      <c r="E10" s="4">
        <v>1.4117966138214899</v>
      </c>
      <c r="F10" s="4">
        <v>1.1143359861655999</v>
      </c>
      <c r="G10" s="4">
        <v>0.90690841437426495</v>
      </c>
      <c r="H10" s="4">
        <v>0.76110006509476602</v>
      </c>
      <c r="I10" s="4">
        <v>0.63570875453159803</v>
      </c>
      <c r="J10" s="4">
        <v>0.49254047633778802</v>
      </c>
      <c r="K10" s="4">
        <v>1.4147338994588E-3</v>
      </c>
      <c r="M10" s="1" t="s">
        <v>104</v>
      </c>
      <c r="N10" s="5">
        <v>0.31</v>
      </c>
    </row>
    <row r="11" spans="1:48" x14ac:dyDescent="0.2">
      <c r="A11" s="1">
        <f t="shared" si="0"/>
        <v>2028</v>
      </c>
      <c r="B11" s="4">
        <v>2.6877489013077298</v>
      </c>
      <c r="C11" s="4">
        <v>2.1857193822568202</v>
      </c>
      <c r="D11" s="4">
        <v>1.79697117260492</v>
      </c>
      <c r="E11" s="4">
        <v>1.4117966138214899</v>
      </c>
      <c r="F11" s="4">
        <v>1.1143359861655999</v>
      </c>
      <c r="G11" s="4">
        <v>0.90690841437426495</v>
      </c>
      <c r="H11" s="4">
        <v>0.76110006509476602</v>
      </c>
      <c r="I11" s="4">
        <v>0.63570875453159803</v>
      </c>
      <c r="J11" s="4">
        <v>0.49254047633778802</v>
      </c>
      <c r="K11" s="4">
        <v>1.4147338994588E-3</v>
      </c>
      <c r="M11" s="1" t="s">
        <v>105</v>
      </c>
      <c r="N11" s="5">
        <v>0.15</v>
      </c>
    </row>
    <row r="12" spans="1:48" x14ac:dyDescent="0.2">
      <c r="A12" s="1">
        <f t="shared" si="0"/>
        <v>2029</v>
      </c>
      <c r="B12" s="4">
        <v>2.6877489013077298</v>
      </c>
      <c r="C12" s="4">
        <v>2.1857193822568202</v>
      </c>
      <c r="D12" s="4">
        <v>1.79697117260492</v>
      </c>
      <c r="E12" s="4">
        <v>1.4117966138214899</v>
      </c>
      <c r="F12" s="4">
        <v>1.1143359861655999</v>
      </c>
      <c r="G12" s="4">
        <v>0.90690841437426495</v>
      </c>
      <c r="H12" s="4">
        <v>0.76110006509476602</v>
      </c>
      <c r="I12" s="4">
        <v>0.63570875453159803</v>
      </c>
      <c r="J12" s="4">
        <v>0.49254047633778802</v>
      </c>
      <c r="K12" s="4">
        <v>1.4147338994588E-3</v>
      </c>
      <c r="M12" s="1" t="s">
        <v>106</v>
      </c>
      <c r="N12" s="5">
        <v>0.15</v>
      </c>
    </row>
    <row r="13" spans="1:48" x14ac:dyDescent="0.2">
      <c r="A13" s="1">
        <f t="shared" si="0"/>
        <v>2030</v>
      </c>
      <c r="B13" s="4">
        <v>2.6877489013077298</v>
      </c>
      <c r="C13" s="4">
        <v>2.1857193822568202</v>
      </c>
      <c r="D13" s="4">
        <v>1.79697117260492</v>
      </c>
      <c r="E13" s="4">
        <v>1.4117966138214899</v>
      </c>
      <c r="F13" s="4">
        <v>1.1143359861655999</v>
      </c>
      <c r="G13" s="4">
        <v>0.90690841437426495</v>
      </c>
      <c r="H13" s="4">
        <v>0.76110006509476602</v>
      </c>
      <c r="I13" s="4">
        <v>0.63570875453159803</v>
      </c>
      <c r="J13" s="4">
        <v>0.49254047633778802</v>
      </c>
      <c r="K13" s="4">
        <v>1.4147338994588E-3</v>
      </c>
      <c r="M13" s="1" t="s">
        <v>107</v>
      </c>
      <c r="N13" s="5">
        <v>0.15</v>
      </c>
    </row>
    <row r="14" spans="1:48" x14ac:dyDescent="0.2">
      <c r="A14" s="1">
        <f t="shared" si="0"/>
        <v>2031</v>
      </c>
      <c r="B14" s="4">
        <v>2.6877489013077298</v>
      </c>
      <c r="C14" s="4">
        <v>2.1857193822568202</v>
      </c>
      <c r="D14" s="4">
        <v>1.79697117260492</v>
      </c>
      <c r="E14" s="4">
        <v>1.4117966138214899</v>
      </c>
      <c r="F14" s="4">
        <v>1.1143359861655999</v>
      </c>
      <c r="G14" s="4">
        <v>0.90690841437426495</v>
      </c>
      <c r="H14" s="4">
        <v>0.76110006509476602</v>
      </c>
      <c r="I14" s="4">
        <v>0.63570875453159803</v>
      </c>
      <c r="J14" s="4">
        <v>0.49254047633778802</v>
      </c>
      <c r="K14" s="4">
        <v>1.4147338994588E-3</v>
      </c>
      <c r="M14" s="1"/>
      <c r="N14" s="2">
        <f>SUM(N4:N13)</f>
        <v>1</v>
      </c>
    </row>
    <row r="15" spans="1:48" x14ac:dyDescent="0.2">
      <c r="A15" s="1">
        <f t="shared" si="0"/>
        <v>2032</v>
      </c>
      <c r="B15" s="4">
        <v>2.6877489013077298</v>
      </c>
      <c r="C15" s="4">
        <v>2.1857193822568202</v>
      </c>
      <c r="D15" s="4">
        <v>1.79697117260492</v>
      </c>
      <c r="E15" s="4">
        <v>1.4117966138214899</v>
      </c>
      <c r="F15" s="4">
        <v>1.1143359861655999</v>
      </c>
      <c r="G15" s="4">
        <v>0.90690841437426495</v>
      </c>
      <c r="H15" s="4">
        <v>0.76110006509476602</v>
      </c>
      <c r="I15" s="4">
        <v>0.63570875453159803</v>
      </c>
      <c r="J15" s="4">
        <v>0.49254047633778802</v>
      </c>
      <c r="K15" s="4">
        <v>1.4147338994588E-3</v>
      </c>
    </row>
    <row r="16" spans="1:48" x14ac:dyDescent="0.2">
      <c r="A16" s="1">
        <f t="shared" si="0"/>
        <v>2033</v>
      </c>
      <c r="B16" s="4">
        <v>2.6877489013077298</v>
      </c>
      <c r="C16" s="4">
        <v>2.1857193822568202</v>
      </c>
      <c r="D16" s="4">
        <v>1.79697117260492</v>
      </c>
      <c r="E16" s="4">
        <v>1.4117966138214899</v>
      </c>
      <c r="F16" s="4">
        <v>1.1143359861655999</v>
      </c>
      <c r="G16" s="4">
        <v>0.90690841437426495</v>
      </c>
      <c r="H16" s="4">
        <v>0.76110006509476602</v>
      </c>
      <c r="I16" s="4">
        <v>0.63570875453159803</v>
      </c>
      <c r="J16" s="4">
        <v>0.49254047633778802</v>
      </c>
      <c r="K16" s="4">
        <v>1.4147338994588E-3</v>
      </c>
    </row>
    <row r="17" spans="1:11" x14ac:dyDescent="0.2">
      <c r="A17" s="1">
        <f t="shared" si="0"/>
        <v>2034</v>
      </c>
      <c r="B17" s="4">
        <v>2.6877489013077298</v>
      </c>
      <c r="C17" s="4">
        <v>2.1857193822568202</v>
      </c>
      <c r="D17" s="4">
        <v>1.79697117260492</v>
      </c>
      <c r="E17" s="4">
        <v>1.4117966138214899</v>
      </c>
      <c r="F17" s="4">
        <v>1.1143359861655999</v>
      </c>
      <c r="G17" s="4">
        <v>0.90690841437426495</v>
      </c>
      <c r="H17" s="4">
        <v>0.76110006509476602</v>
      </c>
      <c r="I17" s="4">
        <v>0.63570875453159803</v>
      </c>
      <c r="J17" s="4">
        <v>0.49254047633778802</v>
      </c>
      <c r="K17" s="4">
        <v>1.4147338994588E-3</v>
      </c>
    </row>
    <row r="18" spans="1:11" x14ac:dyDescent="0.2">
      <c r="A18" s="1">
        <f t="shared" si="0"/>
        <v>2035</v>
      </c>
      <c r="B18" s="4">
        <v>2.6877489013077298</v>
      </c>
      <c r="C18" s="4">
        <v>2.1857193822568202</v>
      </c>
      <c r="D18" s="4">
        <v>1.79697117260492</v>
      </c>
      <c r="E18" s="4">
        <v>1.4117966138214899</v>
      </c>
      <c r="F18" s="4">
        <v>1.1143359861655999</v>
      </c>
      <c r="G18" s="4">
        <v>0.90690841437426495</v>
      </c>
      <c r="H18" s="4">
        <v>0.76110006509476602</v>
      </c>
      <c r="I18" s="4">
        <v>0.63570875453159803</v>
      </c>
      <c r="J18" s="4">
        <v>0.49254047633778802</v>
      </c>
      <c r="K18" s="4">
        <v>1.4147338994588E-3</v>
      </c>
    </row>
    <row r="19" spans="1:11" x14ac:dyDescent="0.2">
      <c r="A19" s="1">
        <f t="shared" si="0"/>
        <v>2036</v>
      </c>
      <c r="B19" s="4">
        <v>2.6877489013077298</v>
      </c>
      <c r="C19" s="4">
        <v>2.1857193822568202</v>
      </c>
      <c r="D19" s="4">
        <v>1.79697117260492</v>
      </c>
      <c r="E19" s="4">
        <v>1.4117966138214899</v>
      </c>
      <c r="F19" s="4">
        <v>1.1143359861655999</v>
      </c>
      <c r="G19" s="4">
        <v>0.90690841437426495</v>
      </c>
      <c r="H19" s="4">
        <v>0.76110006509476602</v>
      </c>
      <c r="I19" s="4">
        <v>0.63570875453159803</v>
      </c>
      <c r="J19" s="4">
        <v>0.49254047633778802</v>
      </c>
      <c r="K19" s="4">
        <v>1.4147338994588E-3</v>
      </c>
    </row>
    <row r="20" spans="1:11" x14ac:dyDescent="0.2">
      <c r="A20" s="1">
        <f t="shared" si="0"/>
        <v>2037</v>
      </c>
      <c r="B20" s="4">
        <v>2.6877489013077298</v>
      </c>
      <c r="C20" s="4">
        <v>2.1857193822568202</v>
      </c>
      <c r="D20" s="4">
        <v>1.79697117260492</v>
      </c>
      <c r="E20" s="4">
        <v>1.4117966138214899</v>
      </c>
      <c r="F20" s="4">
        <v>1.1143359861655999</v>
      </c>
      <c r="G20" s="4">
        <v>0.90690841437426495</v>
      </c>
      <c r="H20" s="4">
        <v>0.76110006509476602</v>
      </c>
      <c r="I20" s="4">
        <v>0.63570875453159803</v>
      </c>
      <c r="J20" s="4">
        <v>0.49254047633778802</v>
      </c>
      <c r="K20" s="4">
        <v>1.4147338994588E-3</v>
      </c>
    </row>
    <row r="21" spans="1:11" x14ac:dyDescent="0.2">
      <c r="A21" s="1">
        <f t="shared" si="0"/>
        <v>2038</v>
      </c>
      <c r="B21" s="4">
        <v>2.6877489013077298</v>
      </c>
      <c r="C21" s="4">
        <v>2.1857193822568202</v>
      </c>
      <c r="D21" s="4">
        <v>1.79697117260492</v>
      </c>
      <c r="E21" s="4">
        <v>1.4117966138214899</v>
      </c>
      <c r="F21" s="4">
        <v>1.1143359861655999</v>
      </c>
      <c r="G21" s="4">
        <v>0.90690841437426495</v>
      </c>
      <c r="H21" s="4">
        <v>0.76110006509476602</v>
      </c>
      <c r="I21" s="4">
        <v>0.63570875453159803</v>
      </c>
      <c r="J21" s="4">
        <v>0.49254047633778802</v>
      </c>
      <c r="K21" s="4">
        <v>1.4147338994588E-3</v>
      </c>
    </row>
    <row r="22" spans="1:11" x14ac:dyDescent="0.2">
      <c r="A22" s="1">
        <f t="shared" si="0"/>
        <v>2039</v>
      </c>
      <c r="B22" s="4">
        <v>2.6877489013077298</v>
      </c>
      <c r="C22" s="4">
        <v>2.1857193822568202</v>
      </c>
      <c r="D22" s="4">
        <v>1.79697117260492</v>
      </c>
      <c r="E22" s="4">
        <v>1.4117966138214899</v>
      </c>
      <c r="F22" s="4">
        <v>1.1143359861655999</v>
      </c>
      <c r="G22" s="4">
        <v>0.90690841437426495</v>
      </c>
      <c r="H22" s="4">
        <v>0.76110006509476602</v>
      </c>
      <c r="I22" s="4">
        <v>0.63570875453159803</v>
      </c>
      <c r="J22" s="4">
        <v>0.49254047633778802</v>
      </c>
      <c r="K22" s="4">
        <v>1.4147338994588E-3</v>
      </c>
    </row>
    <row r="23" spans="1:11" x14ac:dyDescent="0.2">
      <c r="A23" s="1">
        <f t="shared" si="0"/>
        <v>2040</v>
      </c>
      <c r="B23" s="4">
        <v>2.6877489013077298</v>
      </c>
      <c r="C23" s="4">
        <v>2.1857193822568202</v>
      </c>
      <c r="D23" s="4">
        <v>1.79697117260492</v>
      </c>
      <c r="E23" s="4">
        <v>1.4117966138214899</v>
      </c>
      <c r="F23" s="4">
        <v>1.1143359861655999</v>
      </c>
      <c r="G23" s="4">
        <v>0.90690841437426495</v>
      </c>
      <c r="H23" s="4">
        <v>0.76110006509476602</v>
      </c>
      <c r="I23" s="4">
        <v>0.63570875453159803</v>
      </c>
      <c r="J23" s="4">
        <v>0.49254047633778802</v>
      </c>
      <c r="K23" s="4">
        <v>1.4147338994588E-3</v>
      </c>
    </row>
    <row r="24" spans="1:11" x14ac:dyDescent="0.2">
      <c r="A24" s="1">
        <f t="shared" si="0"/>
        <v>2041</v>
      </c>
      <c r="B24" s="4">
        <v>2.6877489013077298</v>
      </c>
      <c r="C24" s="4">
        <v>2.1857193822568202</v>
      </c>
      <c r="D24" s="4">
        <v>1.79697117260492</v>
      </c>
      <c r="E24" s="4">
        <v>1.4117966138214899</v>
      </c>
      <c r="F24" s="4">
        <v>1.1143359861655999</v>
      </c>
      <c r="G24" s="4">
        <v>0.90690841437426495</v>
      </c>
      <c r="H24" s="4">
        <v>0.76110006509476602</v>
      </c>
      <c r="I24" s="4">
        <v>0.63570875453159803</v>
      </c>
      <c r="J24" s="4">
        <v>0.49254047633778802</v>
      </c>
      <c r="K24" s="4">
        <v>1.4147338994588E-3</v>
      </c>
    </row>
    <row r="25" spans="1:11" x14ac:dyDescent="0.2">
      <c r="A25" s="1">
        <f t="shared" si="0"/>
        <v>2042</v>
      </c>
      <c r="B25" s="4">
        <v>2.6877489013077298</v>
      </c>
      <c r="C25" s="4">
        <v>2.1857193822568202</v>
      </c>
      <c r="D25" s="4">
        <v>1.79697117260492</v>
      </c>
      <c r="E25" s="4">
        <v>1.4117966138214899</v>
      </c>
      <c r="F25" s="4">
        <v>1.1143359861655999</v>
      </c>
      <c r="G25" s="4">
        <v>0.90690841437426495</v>
      </c>
      <c r="H25" s="4">
        <v>0.76110006509476602</v>
      </c>
      <c r="I25" s="4">
        <v>0.63570875453159803</v>
      </c>
      <c r="J25" s="4">
        <v>0.49254047633778802</v>
      </c>
      <c r="K25" s="4">
        <v>1.4147338994588E-3</v>
      </c>
    </row>
    <row r="26" spans="1:11" x14ac:dyDescent="0.2">
      <c r="A26" s="1">
        <f t="shared" si="0"/>
        <v>2043</v>
      </c>
      <c r="B26" s="4">
        <v>2.6877489013077298</v>
      </c>
      <c r="C26" s="4">
        <v>2.1857193822568202</v>
      </c>
      <c r="D26" s="4">
        <v>1.79697117260492</v>
      </c>
      <c r="E26" s="4">
        <v>1.4117966138214899</v>
      </c>
      <c r="F26" s="4">
        <v>1.1143359861655999</v>
      </c>
      <c r="G26" s="4">
        <v>0.90690841437426495</v>
      </c>
      <c r="H26" s="4">
        <v>0.76110006509476602</v>
      </c>
      <c r="I26" s="4">
        <v>0.63570875453159803</v>
      </c>
      <c r="J26" s="4">
        <v>0.49254047633778802</v>
      </c>
      <c r="K26" s="4">
        <v>1.4147338994588E-3</v>
      </c>
    </row>
    <row r="27" spans="1:11" x14ac:dyDescent="0.2">
      <c r="A27" s="1">
        <f t="shared" si="0"/>
        <v>2044</v>
      </c>
      <c r="B27" s="4">
        <v>2.6877489013077298</v>
      </c>
      <c r="C27" s="4">
        <v>2.1857193822568202</v>
      </c>
      <c r="D27" s="4">
        <v>1.79697117260492</v>
      </c>
      <c r="E27" s="4">
        <v>1.4117966138214899</v>
      </c>
      <c r="F27" s="4">
        <v>1.1143359861655999</v>
      </c>
      <c r="G27" s="4">
        <v>0.90690841437426495</v>
      </c>
      <c r="H27" s="4">
        <v>0.76110006509476602</v>
      </c>
      <c r="I27" s="4">
        <v>0.63570875453159803</v>
      </c>
      <c r="J27" s="4">
        <v>0.49254047633778802</v>
      </c>
      <c r="K27" s="4">
        <v>1.4147338994588E-3</v>
      </c>
    </row>
    <row r="28" spans="1:11" x14ac:dyDescent="0.2">
      <c r="A28" s="1">
        <f t="shared" si="0"/>
        <v>2045</v>
      </c>
      <c r="B28" s="4">
        <v>2.6877489013077298</v>
      </c>
      <c r="C28" s="4">
        <v>2.1857193822568202</v>
      </c>
      <c r="D28" s="4">
        <v>1.79697117260492</v>
      </c>
      <c r="E28" s="4">
        <v>1.4117966138214899</v>
      </c>
      <c r="F28" s="4">
        <v>1.1143359861655999</v>
      </c>
      <c r="G28" s="4">
        <v>0.90690841437426495</v>
      </c>
      <c r="H28" s="4">
        <v>0.76110006509476602</v>
      </c>
      <c r="I28" s="4">
        <v>0.63570875453159803</v>
      </c>
      <c r="J28" s="4">
        <v>0.49254047633778802</v>
      </c>
      <c r="K28" s="4">
        <v>1.4147338994588E-3</v>
      </c>
    </row>
    <row r="29" spans="1:11" x14ac:dyDescent="0.2">
      <c r="A29" s="1">
        <f t="shared" si="0"/>
        <v>2046</v>
      </c>
      <c r="B29" s="4">
        <v>2.6877489013077298</v>
      </c>
      <c r="C29" s="4">
        <v>2.1857193822568202</v>
      </c>
      <c r="D29" s="4">
        <v>1.79697117260492</v>
      </c>
      <c r="E29" s="4">
        <v>1.4117966138214899</v>
      </c>
      <c r="F29" s="4">
        <v>1.1143359861655999</v>
      </c>
      <c r="G29" s="4">
        <v>0.90690841437426495</v>
      </c>
      <c r="H29" s="4">
        <v>0.76110006509476602</v>
      </c>
      <c r="I29" s="4">
        <v>0.63570875453159803</v>
      </c>
      <c r="J29" s="4">
        <v>0.49254047633778802</v>
      </c>
      <c r="K29" s="4">
        <v>1.4147338994588E-3</v>
      </c>
    </row>
    <row r="30" spans="1:11" x14ac:dyDescent="0.2">
      <c r="A30" s="1">
        <f t="shared" si="0"/>
        <v>2047</v>
      </c>
      <c r="B30" s="4">
        <v>2.6877489013077298</v>
      </c>
      <c r="C30" s="4">
        <v>2.1857193822568202</v>
      </c>
      <c r="D30" s="4">
        <v>1.79697117260492</v>
      </c>
      <c r="E30" s="4">
        <v>1.4117966138214899</v>
      </c>
      <c r="F30" s="4">
        <v>1.1143359861655999</v>
      </c>
      <c r="G30" s="4">
        <v>0.90690841437426495</v>
      </c>
      <c r="H30" s="4">
        <v>0.76110006509476602</v>
      </c>
      <c r="I30" s="4">
        <v>0.63570875453159803</v>
      </c>
      <c r="J30" s="4">
        <v>0.49254047633778802</v>
      </c>
      <c r="K30" s="4">
        <v>1.4147338994588E-3</v>
      </c>
    </row>
    <row r="31" spans="1:11" x14ac:dyDescent="0.2">
      <c r="A31" s="1">
        <f t="shared" si="0"/>
        <v>2048</v>
      </c>
      <c r="B31" s="4">
        <v>2.6877489013077298</v>
      </c>
      <c r="C31" s="4">
        <v>2.1857193822568202</v>
      </c>
      <c r="D31" s="4">
        <v>1.79697117260492</v>
      </c>
      <c r="E31" s="4">
        <v>1.4117966138214899</v>
      </c>
      <c r="F31" s="4">
        <v>1.1143359861655999</v>
      </c>
      <c r="G31" s="4">
        <v>0.90690841437426495</v>
      </c>
      <c r="H31" s="4">
        <v>0.76110006509476602</v>
      </c>
      <c r="I31" s="4">
        <v>0.63570875453159803</v>
      </c>
      <c r="J31" s="4">
        <v>0.49254047633778802</v>
      </c>
      <c r="K31" s="4">
        <v>1.4147338994588E-3</v>
      </c>
    </row>
    <row r="32" spans="1:11" x14ac:dyDescent="0.2">
      <c r="A32" s="1">
        <f t="shared" si="0"/>
        <v>2049</v>
      </c>
      <c r="B32" s="4">
        <v>2.6877489013077298</v>
      </c>
      <c r="C32" s="4">
        <v>2.1857193822568202</v>
      </c>
      <c r="D32" s="4">
        <v>1.79697117260492</v>
      </c>
      <c r="E32" s="4">
        <v>1.4117966138214899</v>
      </c>
      <c r="F32" s="4">
        <v>1.1143359861655999</v>
      </c>
      <c r="G32" s="4">
        <v>0.90690841437426495</v>
      </c>
      <c r="H32" s="4">
        <v>0.76110006509476602</v>
      </c>
      <c r="I32" s="4">
        <v>0.63570875453159803</v>
      </c>
      <c r="J32" s="4">
        <v>0.49254047633778802</v>
      </c>
      <c r="K32" s="4">
        <v>1.4147338994588E-3</v>
      </c>
    </row>
    <row r="33" spans="1:11" x14ac:dyDescent="0.2">
      <c r="A33" s="1">
        <f t="shared" si="0"/>
        <v>2050</v>
      </c>
      <c r="B33" s="4">
        <v>2.6877489013077298</v>
      </c>
      <c r="C33" s="4">
        <v>2.1857193822568202</v>
      </c>
      <c r="D33" s="4">
        <v>1.79697117260492</v>
      </c>
      <c r="E33" s="4">
        <v>1.4117966138214899</v>
      </c>
      <c r="F33" s="4">
        <v>1.1143359861655999</v>
      </c>
      <c r="G33" s="4">
        <v>0.90690841437426495</v>
      </c>
      <c r="H33" s="4">
        <v>0.76110006509476602</v>
      </c>
      <c r="I33" s="4">
        <v>0.63570875453159803</v>
      </c>
      <c r="J33" s="4">
        <v>0.49254047633778802</v>
      </c>
      <c r="K33" s="4">
        <v>1.4147338994588E-3</v>
      </c>
    </row>
    <row r="34" spans="1:11" x14ac:dyDescent="0.2">
      <c r="A34" s="1">
        <f t="shared" si="0"/>
        <v>2051</v>
      </c>
      <c r="B34" s="4">
        <v>2.6877489013077298</v>
      </c>
      <c r="C34" s="4">
        <v>2.1857193822568202</v>
      </c>
      <c r="D34" s="4">
        <v>1.79697117260492</v>
      </c>
      <c r="E34" s="4">
        <v>1.4117966138214899</v>
      </c>
      <c r="F34" s="4">
        <v>1.1143359861655999</v>
      </c>
      <c r="G34" s="4">
        <v>0.90690841437426495</v>
      </c>
      <c r="H34" s="4">
        <v>0.76110006509476602</v>
      </c>
      <c r="I34" s="4">
        <v>0.63570875453159803</v>
      </c>
      <c r="J34" s="4">
        <v>0.49254047633778802</v>
      </c>
      <c r="K34" s="4">
        <v>1.4147338994588E-3</v>
      </c>
    </row>
    <row r="35" spans="1:11" x14ac:dyDescent="0.2">
      <c r="A35" s="1">
        <f t="shared" si="0"/>
        <v>2052</v>
      </c>
      <c r="B35" s="4">
        <v>2.6877489013077298</v>
      </c>
      <c r="C35" s="4">
        <v>2.1857193822568202</v>
      </c>
      <c r="D35" s="4">
        <v>1.79697117260492</v>
      </c>
      <c r="E35" s="4">
        <v>1.4117966138214899</v>
      </c>
      <c r="F35" s="4">
        <v>1.1143359861655999</v>
      </c>
      <c r="G35" s="4">
        <v>0.90690841437426495</v>
      </c>
      <c r="H35" s="4">
        <v>0.76110006509476602</v>
      </c>
      <c r="I35" s="4">
        <v>0.63570875453159803</v>
      </c>
      <c r="J35" s="4">
        <v>0.49254047633778802</v>
      </c>
      <c r="K35" s="4">
        <v>1.4147338994588E-3</v>
      </c>
    </row>
    <row r="36" spans="1:11" x14ac:dyDescent="0.2">
      <c r="A36" s="1">
        <f t="shared" si="0"/>
        <v>2053</v>
      </c>
      <c r="B36" s="4">
        <v>2.6877489013077298</v>
      </c>
      <c r="C36" s="4">
        <v>2.1857193822568202</v>
      </c>
      <c r="D36" s="4">
        <v>1.79697117260492</v>
      </c>
      <c r="E36" s="4">
        <v>1.4117966138214899</v>
      </c>
      <c r="F36" s="4">
        <v>1.1143359861655999</v>
      </c>
      <c r="G36" s="4">
        <v>0.90690841437426495</v>
      </c>
      <c r="H36" s="4">
        <v>0.76110006509476602</v>
      </c>
      <c r="I36" s="4">
        <v>0.63570875453159803</v>
      </c>
      <c r="J36" s="4">
        <v>0.49254047633778802</v>
      </c>
      <c r="K36" s="4">
        <v>1.4147338994588E-3</v>
      </c>
    </row>
    <row r="37" spans="1:11" x14ac:dyDescent="0.2">
      <c r="A37" s="1">
        <f t="shared" si="0"/>
        <v>2054</v>
      </c>
      <c r="B37" s="4">
        <v>2.6877489013077298</v>
      </c>
      <c r="C37" s="4">
        <v>2.1857193822568202</v>
      </c>
      <c r="D37" s="4">
        <v>1.79697117260492</v>
      </c>
      <c r="E37" s="4">
        <v>1.4117966138214899</v>
      </c>
      <c r="F37" s="4">
        <v>1.1143359861655999</v>
      </c>
      <c r="G37" s="4">
        <v>0.90690841437426495</v>
      </c>
      <c r="H37" s="4">
        <v>0.76110006509476602</v>
      </c>
      <c r="I37" s="4">
        <v>0.63570875453159803</v>
      </c>
      <c r="J37" s="4">
        <v>0.49254047633778802</v>
      </c>
      <c r="K37" s="4">
        <v>1.4147338994588E-3</v>
      </c>
    </row>
    <row r="38" spans="1:11" x14ac:dyDescent="0.2">
      <c r="A38" s="1">
        <f t="shared" si="0"/>
        <v>2055</v>
      </c>
      <c r="B38" s="4">
        <v>2.6877489013077298</v>
      </c>
      <c r="C38" s="4">
        <v>2.1857193822568202</v>
      </c>
      <c r="D38" s="4">
        <v>1.79697117260492</v>
      </c>
      <c r="E38" s="4">
        <v>1.4117966138214899</v>
      </c>
      <c r="F38" s="4">
        <v>1.1143359861655999</v>
      </c>
      <c r="G38" s="4">
        <v>0.90690841437426495</v>
      </c>
      <c r="H38" s="4">
        <v>0.76110006509476602</v>
      </c>
      <c r="I38" s="4">
        <v>0.63570875453159803</v>
      </c>
      <c r="J38" s="4">
        <v>0.49254047633778802</v>
      </c>
      <c r="K38" s="4">
        <v>1.4147338994588E-3</v>
      </c>
    </row>
    <row r="39" spans="1:11" x14ac:dyDescent="0.2">
      <c r="A39" s="1">
        <f t="shared" si="0"/>
        <v>2056</v>
      </c>
      <c r="B39" s="4">
        <v>2.6877489013077298</v>
      </c>
      <c r="C39" s="4">
        <v>2.1857193822568202</v>
      </c>
      <c r="D39" s="4">
        <v>1.79697117260492</v>
      </c>
      <c r="E39" s="4">
        <v>1.4117966138214899</v>
      </c>
      <c r="F39" s="4">
        <v>1.1143359861655999</v>
      </c>
      <c r="G39" s="4">
        <v>0.90690841437426495</v>
      </c>
      <c r="H39" s="4">
        <v>0.76110006509476602</v>
      </c>
      <c r="I39" s="4">
        <v>0.63570875453159803</v>
      </c>
      <c r="J39" s="4">
        <v>0.49254047633778802</v>
      </c>
      <c r="K39" s="4">
        <v>1.4147338994588E-3</v>
      </c>
    </row>
    <row r="40" spans="1:11" x14ac:dyDescent="0.2">
      <c r="A40" s="1">
        <f t="shared" si="0"/>
        <v>2057</v>
      </c>
      <c r="B40" s="4">
        <v>2.6877489013077298</v>
      </c>
      <c r="C40" s="4">
        <v>2.1857193822568202</v>
      </c>
      <c r="D40" s="4">
        <v>1.79697117260492</v>
      </c>
      <c r="E40" s="4">
        <v>1.4117966138214899</v>
      </c>
      <c r="F40" s="4">
        <v>1.1143359861655999</v>
      </c>
      <c r="G40" s="4">
        <v>0.90690841437426495</v>
      </c>
      <c r="H40" s="4">
        <v>0.76110006509476602</v>
      </c>
      <c r="I40" s="4">
        <v>0.63570875453159803</v>
      </c>
      <c r="J40" s="4">
        <v>0.49254047633778802</v>
      </c>
      <c r="K40" s="4">
        <v>1.4147338994588E-3</v>
      </c>
    </row>
    <row r="41" spans="1:11" x14ac:dyDescent="0.2">
      <c r="A41" s="1">
        <f t="shared" si="0"/>
        <v>2058</v>
      </c>
      <c r="B41" s="4">
        <v>2.6877489013077298</v>
      </c>
      <c r="C41" s="4">
        <v>2.1857193822568202</v>
      </c>
      <c r="D41" s="4">
        <v>1.79697117260492</v>
      </c>
      <c r="E41" s="4">
        <v>1.4117966138214899</v>
      </c>
      <c r="F41" s="4">
        <v>1.1143359861655999</v>
      </c>
      <c r="G41" s="4">
        <v>0.90690841437426495</v>
      </c>
      <c r="H41" s="4">
        <v>0.76110006509476602</v>
      </c>
      <c r="I41" s="4">
        <v>0.63570875453159803</v>
      </c>
      <c r="J41" s="4">
        <v>0.49254047633778802</v>
      </c>
      <c r="K41" s="4">
        <v>1.4147338994588E-3</v>
      </c>
    </row>
    <row r="42" spans="1:11" x14ac:dyDescent="0.2">
      <c r="A42" s="1">
        <f t="shared" si="0"/>
        <v>2059</v>
      </c>
      <c r="B42" s="4">
        <v>2.6877489013077298</v>
      </c>
      <c r="C42" s="4">
        <v>2.1857193822568202</v>
      </c>
      <c r="D42" s="4">
        <v>1.79697117260492</v>
      </c>
      <c r="E42" s="4">
        <v>1.4117966138214899</v>
      </c>
      <c r="F42" s="4">
        <v>1.1143359861655999</v>
      </c>
      <c r="G42" s="4">
        <v>0.90690841437426495</v>
      </c>
      <c r="H42" s="4">
        <v>0.76110006509476602</v>
      </c>
      <c r="I42" s="4">
        <v>0.63570875453159803</v>
      </c>
      <c r="J42" s="4">
        <v>0.49254047633778802</v>
      </c>
      <c r="K42" s="4">
        <v>1.4147338994588E-3</v>
      </c>
    </row>
    <row r="43" spans="1:11" x14ac:dyDescent="0.2">
      <c r="A43" s="1">
        <f t="shared" si="0"/>
        <v>2060</v>
      </c>
      <c r="B43" s="4">
        <v>2.6877489013077298</v>
      </c>
      <c r="C43" s="4">
        <v>2.1857193822568202</v>
      </c>
      <c r="D43" s="4">
        <v>1.79697117260492</v>
      </c>
      <c r="E43" s="4">
        <v>1.4117966138214899</v>
      </c>
      <c r="F43" s="4">
        <v>1.1143359861655999</v>
      </c>
      <c r="G43" s="4">
        <v>0.90690841437426495</v>
      </c>
      <c r="H43" s="4">
        <v>0.76110006509476602</v>
      </c>
      <c r="I43" s="4">
        <v>0.63570875453159803</v>
      </c>
      <c r="J43" s="4">
        <v>0.49254047633778802</v>
      </c>
      <c r="K43" s="4">
        <v>1.4147338994588E-3</v>
      </c>
    </row>
    <row r="44" spans="1:11" x14ac:dyDescent="0.2">
      <c r="A44" s="1">
        <f t="shared" si="0"/>
        <v>2061</v>
      </c>
      <c r="B44" s="4">
        <v>2.6877489013077298</v>
      </c>
      <c r="C44" s="4">
        <v>2.1857193822568202</v>
      </c>
      <c r="D44" s="4">
        <v>1.79697117260492</v>
      </c>
      <c r="E44" s="4">
        <v>1.4117966138214899</v>
      </c>
      <c r="F44" s="4">
        <v>1.1143359861655999</v>
      </c>
      <c r="G44" s="4">
        <v>0.90690841437426495</v>
      </c>
      <c r="H44" s="4">
        <v>0.76110006509476602</v>
      </c>
      <c r="I44" s="4">
        <v>0.63570875453159803</v>
      </c>
      <c r="J44" s="4">
        <v>0.49254047633778802</v>
      </c>
      <c r="K44" s="4">
        <v>1.4147338994588E-3</v>
      </c>
    </row>
    <row r="45" spans="1:11" x14ac:dyDescent="0.2">
      <c r="A45" s="1">
        <f t="shared" si="0"/>
        <v>2062</v>
      </c>
      <c r="B45" s="4">
        <v>2.6877489013077298</v>
      </c>
      <c r="C45" s="4">
        <v>2.1857193822568202</v>
      </c>
      <c r="D45" s="4">
        <v>1.79697117260492</v>
      </c>
      <c r="E45" s="4">
        <v>1.4117966138214899</v>
      </c>
      <c r="F45" s="4">
        <v>1.1143359861655999</v>
      </c>
      <c r="G45" s="4">
        <v>0.90690841437426495</v>
      </c>
      <c r="H45" s="4">
        <v>0.76110006509476602</v>
      </c>
      <c r="I45" s="4">
        <v>0.63570875453159803</v>
      </c>
      <c r="J45" s="4">
        <v>0.49254047633778802</v>
      </c>
      <c r="K45" s="4">
        <v>1.4147338994588E-3</v>
      </c>
    </row>
    <row r="46" spans="1:11" x14ac:dyDescent="0.2">
      <c r="A46" s="1">
        <f t="shared" si="0"/>
        <v>2063</v>
      </c>
      <c r="B46" s="4">
        <v>2.6877489013077298</v>
      </c>
      <c r="C46" s="4">
        <v>2.1857193822568202</v>
      </c>
      <c r="D46" s="4">
        <v>1.79697117260492</v>
      </c>
      <c r="E46" s="4">
        <v>1.4117966138214899</v>
      </c>
      <c r="F46" s="4">
        <v>1.1143359861655999</v>
      </c>
      <c r="G46" s="4">
        <v>0.90690841437426495</v>
      </c>
      <c r="H46" s="4">
        <v>0.76110006509476602</v>
      </c>
      <c r="I46" s="4">
        <v>0.63570875453159803</v>
      </c>
      <c r="J46" s="4">
        <v>0.49254047633778802</v>
      </c>
      <c r="K46" s="4">
        <v>1.4147338994588E-3</v>
      </c>
    </row>
    <row r="47" spans="1:11" x14ac:dyDescent="0.2">
      <c r="A47" s="1">
        <f t="shared" si="0"/>
        <v>2064</v>
      </c>
      <c r="B47" s="4">
        <v>2.6877489013077298</v>
      </c>
      <c r="C47" s="4">
        <v>2.1857193822568202</v>
      </c>
      <c r="D47" s="4">
        <v>1.79697117260492</v>
      </c>
      <c r="E47" s="4">
        <v>1.4117966138214899</v>
      </c>
      <c r="F47" s="4">
        <v>1.1143359861655999</v>
      </c>
      <c r="G47" s="4">
        <v>0.90690841437426495</v>
      </c>
      <c r="H47" s="4">
        <v>0.76110006509476602</v>
      </c>
      <c r="I47" s="4">
        <v>0.63570875453159803</v>
      </c>
      <c r="J47" s="4">
        <v>0.49254047633778802</v>
      </c>
      <c r="K47" s="4">
        <v>1.4147338994588E-3</v>
      </c>
    </row>
    <row r="48" spans="1:11" x14ac:dyDescent="0.2">
      <c r="A48" s="1">
        <f t="shared" si="0"/>
        <v>2065</v>
      </c>
      <c r="B48" s="4">
        <v>2.6877489013077298</v>
      </c>
      <c r="C48" s="4">
        <v>2.1857193822568202</v>
      </c>
      <c r="D48" s="4">
        <v>1.79697117260492</v>
      </c>
      <c r="E48" s="4">
        <v>1.4117966138214899</v>
      </c>
      <c r="F48" s="4">
        <v>1.1143359861655999</v>
      </c>
      <c r="G48" s="4">
        <v>0.90690841437426495</v>
      </c>
      <c r="H48" s="4">
        <v>0.76110006509476602</v>
      </c>
      <c r="I48" s="4">
        <v>0.63570875453159803</v>
      </c>
      <c r="J48" s="4">
        <v>0.49254047633778802</v>
      </c>
      <c r="K48" s="4">
        <v>1.4147338994588E-3</v>
      </c>
    </row>
    <row r="49" spans="1:11" x14ac:dyDescent="0.2">
      <c r="A49" s="1">
        <f t="shared" si="0"/>
        <v>2066</v>
      </c>
      <c r="B49" s="4">
        <v>2.6877489013077298</v>
      </c>
      <c r="C49" s="4">
        <v>2.1857193822568202</v>
      </c>
      <c r="D49" s="4">
        <v>1.79697117260492</v>
      </c>
      <c r="E49" s="4">
        <v>1.4117966138214899</v>
      </c>
      <c r="F49" s="4">
        <v>1.1143359861655999</v>
      </c>
      <c r="G49" s="4">
        <v>0.90690841437426495</v>
      </c>
      <c r="H49" s="4">
        <v>0.76110006509476602</v>
      </c>
      <c r="I49" s="4">
        <v>0.63570875453159803</v>
      </c>
      <c r="J49" s="4">
        <v>0.49254047633778802</v>
      </c>
      <c r="K49" s="4">
        <v>1.4147338994588E-3</v>
      </c>
    </row>
    <row r="50" spans="1:11" x14ac:dyDescent="0.2">
      <c r="A50" s="1">
        <f t="shared" si="0"/>
        <v>2067</v>
      </c>
      <c r="B50" s="4">
        <v>2.6877489013077298</v>
      </c>
      <c r="C50" s="4">
        <v>2.1857193822568202</v>
      </c>
      <c r="D50" s="4">
        <v>1.79697117260492</v>
      </c>
      <c r="E50" s="4">
        <v>1.4117966138214899</v>
      </c>
      <c r="F50" s="4">
        <v>1.1143359861655999</v>
      </c>
      <c r="G50" s="4">
        <v>0.90690841437426495</v>
      </c>
      <c r="H50" s="4">
        <v>0.76110006509476602</v>
      </c>
      <c r="I50" s="4">
        <v>0.63570875453159803</v>
      </c>
      <c r="J50" s="4">
        <v>0.49254047633778802</v>
      </c>
      <c r="K50" s="4">
        <v>1.4147338994588E-3</v>
      </c>
    </row>
    <row r="51" spans="1:11" x14ac:dyDescent="0.2">
      <c r="A51" s="1">
        <f t="shared" si="0"/>
        <v>2068</v>
      </c>
      <c r="B51" s="4">
        <v>2.6877489013077298</v>
      </c>
      <c r="C51" s="4">
        <v>2.1857193822568202</v>
      </c>
      <c r="D51" s="4">
        <v>1.79697117260492</v>
      </c>
      <c r="E51" s="4">
        <v>1.4117966138214899</v>
      </c>
      <c r="F51" s="4">
        <v>1.1143359861655999</v>
      </c>
      <c r="G51" s="4">
        <v>0.90690841437426495</v>
      </c>
      <c r="H51" s="4">
        <v>0.76110006509476602</v>
      </c>
      <c r="I51" s="4">
        <v>0.63570875453159803</v>
      </c>
      <c r="J51" s="4">
        <v>0.49254047633778802</v>
      </c>
      <c r="K51" s="4">
        <v>1.4147338994588E-3</v>
      </c>
    </row>
    <row r="52" spans="1:11" x14ac:dyDescent="0.2">
      <c r="A52" s="1">
        <f t="shared" si="0"/>
        <v>2069</v>
      </c>
      <c r="B52" s="4">
        <v>2.6877489013077298</v>
      </c>
      <c r="C52" s="4">
        <v>2.1857193822568202</v>
      </c>
      <c r="D52" s="4">
        <v>1.79697117260492</v>
      </c>
      <c r="E52" s="4">
        <v>1.4117966138214899</v>
      </c>
      <c r="F52" s="4">
        <v>1.1143359861655999</v>
      </c>
      <c r="G52" s="4">
        <v>0.90690841437426495</v>
      </c>
      <c r="H52" s="4">
        <v>0.76110006509476602</v>
      </c>
      <c r="I52" s="4">
        <v>0.63570875453159803</v>
      </c>
      <c r="J52" s="4">
        <v>0.49254047633778802</v>
      </c>
      <c r="K52" s="4">
        <v>1.4147338994588E-3</v>
      </c>
    </row>
    <row r="53" spans="1:11" x14ac:dyDescent="0.2">
      <c r="A53" s="1">
        <f t="shared" si="0"/>
        <v>2070</v>
      </c>
      <c r="B53" s="4">
        <v>2.6877489013077298</v>
      </c>
      <c r="C53" s="4">
        <v>2.1857193822568202</v>
      </c>
      <c r="D53" s="4">
        <v>1.79697117260492</v>
      </c>
      <c r="E53" s="4">
        <v>1.4117966138214899</v>
      </c>
      <c r="F53" s="4">
        <v>1.1143359861655999</v>
      </c>
      <c r="G53" s="4">
        <v>0.90690841437426495</v>
      </c>
      <c r="H53" s="4">
        <v>0.76110006509476602</v>
      </c>
      <c r="I53" s="4">
        <v>0.63570875453159803</v>
      </c>
      <c r="J53" s="4">
        <v>0.49254047633778802</v>
      </c>
      <c r="K53" s="4">
        <v>1.4147338994588E-3</v>
      </c>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Definitions</vt:lpstr>
      <vt:lpstr>Other</vt:lpstr>
      <vt:lpstr>Plant Data</vt:lpstr>
      <vt:lpstr>FC_PPA</vt:lpstr>
      <vt:lpstr>Price_Gen</vt:lpstr>
      <vt:lpstr>Price_Distribution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Debabrata Chattopadhyay</dc:creator>
  <cp:keywords/>
  <dc:description/>
  <cp:lastModifiedBy>Osei-Owusu, Simone</cp:lastModifiedBy>
  <cp:revision/>
  <dcterms:created xsi:type="dcterms:W3CDTF">2021-06-05T11:37:27Z</dcterms:created>
  <dcterms:modified xsi:type="dcterms:W3CDTF">2026-01-16T14:29:43Z</dcterms:modified>
  <cp:category/>
  <cp:contentStatus/>
</cp:coreProperties>
</file>