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Users/simoneosei/Documents/GitHub/ffrm_python/Examples/"/>
    </mc:Choice>
  </mc:AlternateContent>
  <xr:revisionPtr revIDLastSave="0" documentId="13_ncr:1_{9CC657FB-524A-5A47-A9D2-4BA71781A2A5}" xr6:coauthVersionLast="47" xr6:coauthVersionMax="47" xr10:uidLastSave="{00000000-0000-0000-0000-000000000000}"/>
  <bookViews>
    <workbookView xWindow="0" yWindow="500" windowWidth="28800" windowHeight="17500" activeTab="5" xr2:uid="{00000000-000D-0000-FFFF-FFFF00000000}"/>
  </bookViews>
  <sheets>
    <sheet name="Definitions" sheetId="1" r:id="rId1"/>
    <sheet name="Other" sheetId="2" r:id="rId2"/>
    <sheet name="Plant Data" sheetId="3" r:id="rId3"/>
    <sheet name="FC_PPA" sheetId="4" r:id="rId4"/>
    <sheet name="Price_Gen" sheetId="5" r:id="rId5"/>
    <sheet name="Price_Distribution" sheetId="6" r:id="rId6"/>
  </sheets>
  <definedNames>
    <definedName name="_xlnm._FilterDatabase" localSheetId="3" hidden="1">FC_PPA!$A$3:$AU$3</definedName>
    <definedName name="_xlnm._FilterDatabase" localSheetId="1" hidden="1">Other!$A$3:$C$86</definedName>
    <definedName name="_xlnm._FilterDatabase" localSheetId="2" hidden="1">'Plant Data'!$A$3:$I$3</definedName>
    <definedName name="_xlnm._FilterDatabase" localSheetId="4" hidden="1">Price_Gen!$A$3:$AW$3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KvaShNgbuDfJa2tlZS6Xw+83eD6Q+R3FfMNuNWciMxw="/>
    </ext>
  </extLst>
</workbook>
</file>

<file path=xl/calcChain.xml><?xml version="1.0" encoding="utf-8"?>
<calcChain xmlns="http://schemas.openxmlformats.org/spreadsheetml/2006/main">
  <c r="A5" i="6" l="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N14" i="6"/>
  <c r="C8" i="5"/>
  <c r="C7" i="5"/>
  <c r="C6" i="5"/>
  <c r="C5" i="5"/>
  <c r="C4" i="5"/>
  <c r="D3" i="5"/>
  <c r="E3" i="5" s="1"/>
  <c r="F3" i="5" s="1"/>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AX3" i="5" s="1"/>
  <c r="AY3" i="5" s="1"/>
  <c r="AZ3" i="5" s="1"/>
  <c r="BA3" i="5" s="1"/>
  <c r="A296" i="4"/>
  <c r="A295" i="4"/>
  <c r="A294" i="4"/>
  <c r="A293"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41" i="4"/>
  <c r="A240" i="4"/>
  <c r="A239" i="4"/>
  <c r="A238" i="4"/>
  <c r="A237"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U68" i="4"/>
  <c r="AT68" i="4"/>
  <c r="AS68" i="4"/>
  <c r="AR68" i="4"/>
  <c r="AQ68" i="4"/>
  <c r="AP68" i="4"/>
  <c r="AO68" i="4"/>
  <c r="AN68" i="4"/>
  <c r="AM68" i="4"/>
  <c r="AL68" i="4"/>
  <c r="AK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D68" i="4"/>
  <c r="C68" i="4"/>
  <c r="B68" i="4"/>
  <c r="A68" i="4"/>
  <c r="AU67" i="4"/>
  <c r="AT67" i="4"/>
  <c r="AS67" i="4"/>
  <c r="AR67" i="4"/>
  <c r="AQ67" i="4"/>
  <c r="AP67" i="4"/>
  <c r="AO67" i="4"/>
  <c r="AN67" i="4"/>
  <c r="AM67" i="4"/>
  <c r="AL67" i="4"/>
  <c r="AK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D67" i="4"/>
  <c r="C67" i="4"/>
  <c r="B67" i="4"/>
  <c r="A67" i="4"/>
  <c r="AU66" i="4"/>
  <c r="AT66" i="4"/>
  <c r="AS66" i="4"/>
  <c r="AR66" i="4"/>
  <c r="AQ66" i="4"/>
  <c r="AP66" i="4"/>
  <c r="AO66" i="4"/>
  <c r="AN66" i="4"/>
  <c r="AM66" i="4"/>
  <c r="AL66" i="4"/>
  <c r="AK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D66" i="4"/>
  <c r="C66" i="4"/>
  <c r="B66" i="4"/>
  <c r="A66" i="4"/>
  <c r="AU65" i="4"/>
  <c r="AT65" i="4"/>
  <c r="AS65" i="4"/>
  <c r="AR65" i="4"/>
  <c r="AQ65" i="4"/>
  <c r="AP65" i="4"/>
  <c r="AO65" i="4"/>
  <c r="AN65" i="4"/>
  <c r="AM65" i="4"/>
  <c r="AL65" i="4"/>
  <c r="AK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D65" i="4"/>
  <c r="C65" i="4"/>
  <c r="B65" i="4"/>
  <c r="A65" i="4"/>
  <c r="AU64" i="4"/>
  <c r="AT64" i="4"/>
  <c r="AS64" i="4"/>
  <c r="AR64" i="4"/>
  <c r="AQ64" i="4"/>
  <c r="AP64" i="4"/>
  <c r="AO64" i="4"/>
  <c r="AN64" i="4"/>
  <c r="AM64" i="4"/>
  <c r="AL64" i="4"/>
  <c r="AK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D64" i="4"/>
  <c r="C64" i="4"/>
  <c r="B64" i="4"/>
  <c r="A64" i="4"/>
  <c r="AU63" i="4"/>
  <c r="AT63" i="4"/>
  <c r="AS63" i="4"/>
  <c r="AR63" i="4"/>
  <c r="AQ63" i="4"/>
  <c r="AP63" i="4"/>
  <c r="AO63" i="4"/>
  <c r="AN63" i="4"/>
  <c r="AM63" i="4"/>
  <c r="AL63" i="4"/>
  <c r="AK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D63" i="4"/>
  <c r="C63" i="4"/>
  <c r="B63" i="4"/>
  <c r="A63" i="4"/>
  <c r="AU62" i="4"/>
  <c r="AT62" i="4"/>
  <c r="AS62" i="4"/>
  <c r="AR62" i="4"/>
  <c r="AQ62" i="4"/>
  <c r="AP62" i="4"/>
  <c r="AO62" i="4"/>
  <c r="AN62" i="4"/>
  <c r="AM62" i="4"/>
  <c r="AL62" i="4"/>
  <c r="AK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D62" i="4"/>
  <c r="C62" i="4"/>
  <c r="B62" i="4"/>
  <c r="A62" i="4"/>
  <c r="AU61" i="4"/>
  <c r="AT61" i="4"/>
  <c r="AS61" i="4"/>
  <c r="AR61" i="4"/>
  <c r="AQ61" i="4"/>
  <c r="AP61" i="4"/>
  <c r="AO61" i="4"/>
  <c r="AN61" i="4"/>
  <c r="AM61" i="4"/>
  <c r="AL61" i="4"/>
  <c r="AK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D61" i="4"/>
  <c r="C61" i="4"/>
  <c r="B61" i="4"/>
  <c r="A61" i="4"/>
  <c r="AU60" i="4"/>
  <c r="AT60" i="4"/>
  <c r="AS60" i="4"/>
  <c r="AR60" i="4"/>
  <c r="AQ60" i="4"/>
  <c r="AP60" i="4"/>
  <c r="AO60" i="4"/>
  <c r="AN60" i="4"/>
  <c r="AM60" i="4"/>
  <c r="AL60" i="4"/>
  <c r="AK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D60" i="4"/>
  <c r="C60" i="4"/>
  <c r="B60" i="4"/>
  <c r="A60" i="4"/>
  <c r="AU59" i="4"/>
  <c r="AT59" i="4"/>
  <c r="AS59" i="4"/>
  <c r="AR59" i="4"/>
  <c r="AQ59" i="4"/>
  <c r="AP59" i="4"/>
  <c r="AO59" i="4"/>
  <c r="AN59" i="4"/>
  <c r="AM59" i="4"/>
  <c r="AL59" i="4"/>
  <c r="AK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D59" i="4"/>
  <c r="C59" i="4"/>
  <c r="B59" i="4"/>
  <c r="A59" i="4"/>
  <c r="AU58" i="4"/>
  <c r="AT58" i="4"/>
  <c r="AS58" i="4"/>
  <c r="AR58" i="4"/>
  <c r="AQ58" i="4"/>
  <c r="AP58" i="4"/>
  <c r="AO58" i="4"/>
  <c r="AN58" i="4"/>
  <c r="AM58" i="4"/>
  <c r="AL58" i="4"/>
  <c r="AK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D58" i="4"/>
  <c r="C58" i="4"/>
  <c r="B58" i="4"/>
  <c r="A58" i="4"/>
  <c r="AU57" i="4"/>
  <c r="AT57" i="4"/>
  <c r="AS57" i="4"/>
  <c r="AR57" i="4"/>
  <c r="AQ57" i="4"/>
  <c r="AP57" i="4"/>
  <c r="AO57" i="4"/>
  <c r="AN57" i="4"/>
  <c r="AM57" i="4"/>
  <c r="AL57" i="4"/>
  <c r="AK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D57" i="4"/>
  <c r="C57" i="4"/>
  <c r="B57" i="4"/>
  <c r="A57" i="4"/>
  <c r="AU56" i="4"/>
  <c r="AT56" i="4"/>
  <c r="AS56" i="4"/>
  <c r="AR56" i="4"/>
  <c r="AQ56" i="4"/>
  <c r="AP56" i="4"/>
  <c r="AO56" i="4"/>
  <c r="AN56" i="4"/>
  <c r="AM56" i="4"/>
  <c r="AL56" i="4"/>
  <c r="AK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D56" i="4"/>
  <c r="C56" i="4"/>
  <c r="B56" i="4"/>
  <c r="A56" i="4"/>
  <c r="AU55" i="4"/>
  <c r="AT55" i="4"/>
  <c r="AS55" i="4"/>
  <c r="AR55" i="4"/>
  <c r="AQ55" i="4"/>
  <c r="AP55" i="4"/>
  <c r="AO55" i="4"/>
  <c r="AN55" i="4"/>
  <c r="AM55" i="4"/>
  <c r="AL55" i="4"/>
  <c r="AK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D55" i="4"/>
  <c r="C55" i="4"/>
  <c r="B55" i="4"/>
  <c r="A55" i="4"/>
  <c r="AU54" i="4"/>
  <c r="AT54" i="4"/>
  <c r="AS54" i="4"/>
  <c r="AR54" i="4"/>
  <c r="AQ54" i="4"/>
  <c r="AP54" i="4"/>
  <c r="AO54" i="4"/>
  <c r="AN54" i="4"/>
  <c r="AM54" i="4"/>
  <c r="AL54" i="4"/>
  <c r="AK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D54" i="4"/>
  <c r="C54" i="4"/>
  <c r="B54" i="4"/>
  <c r="A54" i="4"/>
  <c r="AU53" i="4"/>
  <c r="AT53" i="4"/>
  <c r="AS53" i="4"/>
  <c r="AR53" i="4"/>
  <c r="AQ53" i="4"/>
  <c r="AP53" i="4"/>
  <c r="AO53" i="4"/>
  <c r="AN53" i="4"/>
  <c r="AM53" i="4"/>
  <c r="AL53" i="4"/>
  <c r="AK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D53" i="4"/>
  <c r="C53" i="4"/>
  <c r="B53" i="4"/>
  <c r="A53" i="4"/>
  <c r="AU52" i="4"/>
  <c r="AT52" i="4"/>
  <c r="AS52" i="4"/>
  <c r="AR52"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D52" i="4"/>
  <c r="C52" i="4"/>
  <c r="B52" i="4"/>
  <c r="A52" i="4"/>
  <c r="AU51" i="4"/>
  <c r="AT51" i="4"/>
  <c r="AS51" i="4"/>
  <c r="AR51" i="4"/>
  <c r="AQ51" i="4"/>
  <c r="AP51" i="4"/>
  <c r="AO51" i="4"/>
  <c r="AN51" i="4"/>
  <c r="AM51" i="4"/>
  <c r="AL51" i="4"/>
  <c r="AK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D51" i="4"/>
  <c r="C51" i="4"/>
  <c r="B51" i="4"/>
  <c r="A51" i="4"/>
  <c r="AU50" i="4"/>
  <c r="AT50" i="4"/>
  <c r="AS50" i="4"/>
  <c r="AR50" i="4"/>
  <c r="AQ50" i="4"/>
  <c r="AP50" i="4"/>
  <c r="AO50" i="4"/>
  <c r="AN50" i="4"/>
  <c r="AM50" i="4"/>
  <c r="AL50" i="4"/>
  <c r="AK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D50" i="4"/>
  <c r="C50" i="4"/>
  <c r="B50" i="4"/>
  <c r="A50" i="4"/>
  <c r="AU49" i="4"/>
  <c r="AT49" i="4"/>
  <c r="AS49" i="4"/>
  <c r="AR49" i="4"/>
  <c r="AQ49" i="4"/>
  <c r="AP49" i="4"/>
  <c r="AO49" i="4"/>
  <c r="AN49" i="4"/>
  <c r="AM49" i="4"/>
  <c r="AL49" i="4"/>
  <c r="AK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D49" i="4"/>
  <c r="C49" i="4"/>
  <c r="B49" i="4"/>
  <c r="A49" i="4"/>
  <c r="AU48" i="4"/>
  <c r="AT48" i="4"/>
  <c r="AS48" i="4"/>
  <c r="AR48" i="4"/>
  <c r="AQ48" i="4"/>
  <c r="AP48" i="4"/>
  <c r="AO48" i="4"/>
  <c r="AN48" i="4"/>
  <c r="AM48" i="4"/>
  <c r="AL48" i="4"/>
  <c r="AK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D48" i="4"/>
  <c r="C48" i="4"/>
  <c r="B48" i="4"/>
  <c r="A48" i="4"/>
  <c r="AU47" i="4"/>
  <c r="AT47" i="4"/>
  <c r="AS47" i="4"/>
  <c r="AR47" i="4"/>
  <c r="AQ47" i="4"/>
  <c r="AP47" i="4"/>
  <c r="AO47" i="4"/>
  <c r="AN47" i="4"/>
  <c r="AM47" i="4"/>
  <c r="AL47" i="4"/>
  <c r="AK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D47" i="4"/>
  <c r="C47" i="4"/>
  <c r="B47" i="4"/>
  <c r="A47" i="4"/>
  <c r="AU46" i="4"/>
  <c r="AT46" i="4"/>
  <c r="AS46" i="4"/>
  <c r="AR46" i="4"/>
  <c r="AQ46" i="4"/>
  <c r="AP46" i="4"/>
  <c r="AO46" i="4"/>
  <c r="AN46" i="4"/>
  <c r="AM46" i="4"/>
  <c r="AL46" i="4"/>
  <c r="AK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D46" i="4"/>
  <c r="C46" i="4"/>
  <c r="B46" i="4"/>
  <c r="A46" i="4"/>
  <c r="AU45" i="4"/>
  <c r="AT45" i="4"/>
  <c r="AS45" i="4"/>
  <c r="AR45" i="4"/>
  <c r="AQ45" i="4"/>
  <c r="AP45" i="4"/>
  <c r="AO45" i="4"/>
  <c r="AN45" i="4"/>
  <c r="AM45" i="4"/>
  <c r="AL45" i="4"/>
  <c r="AK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D45" i="4"/>
  <c r="C45" i="4"/>
  <c r="B45" i="4"/>
  <c r="A45" i="4"/>
  <c r="AU44" i="4"/>
  <c r="AT44" i="4"/>
  <c r="AS44" i="4"/>
  <c r="AR44" i="4"/>
  <c r="AQ44" i="4"/>
  <c r="AP44" i="4"/>
  <c r="AO44" i="4"/>
  <c r="AN44" i="4"/>
  <c r="AM44" i="4"/>
  <c r="AL44" i="4"/>
  <c r="AK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D44" i="4"/>
  <c r="C44" i="4"/>
  <c r="B44" i="4"/>
  <c r="A44" i="4"/>
  <c r="AU43" i="4"/>
  <c r="AT43" i="4"/>
  <c r="AS43" i="4"/>
  <c r="AR43" i="4"/>
  <c r="AQ43" i="4"/>
  <c r="AP43" i="4"/>
  <c r="AO43" i="4"/>
  <c r="AN43" i="4"/>
  <c r="AM43" i="4"/>
  <c r="AL43" i="4"/>
  <c r="AK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D43" i="4"/>
  <c r="C43" i="4"/>
  <c r="B43" i="4"/>
  <c r="A43" i="4"/>
  <c r="AU42" i="4"/>
  <c r="AT42" i="4"/>
  <c r="AS42" i="4"/>
  <c r="AR42" i="4"/>
  <c r="AQ42" i="4"/>
  <c r="AP42" i="4"/>
  <c r="AO42" i="4"/>
  <c r="AN42" i="4"/>
  <c r="AM42" i="4"/>
  <c r="AL42" i="4"/>
  <c r="AK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D42" i="4"/>
  <c r="C42" i="4"/>
  <c r="B42" i="4"/>
  <c r="A42" i="4"/>
  <c r="AU41" i="4"/>
  <c r="AT41" i="4"/>
  <c r="AS41" i="4"/>
  <c r="AR41" i="4"/>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D41" i="4"/>
  <c r="C41" i="4"/>
  <c r="B41" i="4"/>
  <c r="A41" i="4"/>
  <c r="AU40" i="4"/>
  <c r="AT40" i="4"/>
  <c r="AS40" i="4"/>
  <c r="AR40" i="4"/>
  <c r="AQ40" i="4"/>
  <c r="AP40" i="4"/>
  <c r="AO40" i="4"/>
  <c r="AN40" i="4"/>
  <c r="AM40" i="4"/>
  <c r="AL40" i="4"/>
  <c r="AK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D40" i="4"/>
  <c r="C40" i="4"/>
  <c r="B40" i="4"/>
  <c r="A40" i="4"/>
  <c r="AU39" i="4"/>
  <c r="AT39" i="4"/>
  <c r="AS39" i="4"/>
  <c r="AR39" i="4"/>
  <c r="AQ39" i="4"/>
  <c r="AP39" i="4"/>
  <c r="AO39" i="4"/>
  <c r="AN39" i="4"/>
  <c r="AM39" i="4"/>
  <c r="AL39" i="4"/>
  <c r="AK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D39" i="4"/>
  <c r="C39" i="4"/>
  <c r="B39" i="4"/>
  <c r="A39" i="4"/>
  <c r="AU38" i="4"/>
  <c r="AT38" i="4"/>
  <c r="AS38" i="4"/>
  <c r="AR38" i="4"/>
  <c r="AQ38" i="4"/>
  <c r="AP38" i="4"/>
  <c r="AO38" i="4"/>
  <c r="AN38" i="4"/>
  <c r="AM38" i="4"/>
  <c r="AL38" i="4"/>
  <c r="AK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D38" i="4"/>
  <c r="C38" i="4"/>
  <c r="B38" i="4"/>
  <c r="A38" i="4"/>
  <c r="AU37" i="4"/>
  <c r="AT37" i="4"/>
  <c r="AS37" i="4"/>
  <c r="AR37" i="4"/>
  <c r="AQ37" i="4"/>
  <c r="AP37" i="4"/>
  <c r="AO37" i="4"/>
  <c r="AN37" i="4"/>
  <c r="AM37" i="4"/>
  <c r="AL37" i="4"/>
  <c r="AK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D37" i="4"/>
  <c r="C37" i="4"/>
  <c r="B37" i="4"/>
  <c r="A37" i="4"/>
  <c r="AU36" i="4"/>
  <c r="AT36" i="4"/>
  <c r="AS36" i="4"/>
  <c r="AR36" i="4"/>
  <c r="AQ36" i="4"/>
  <c r="AP36" i="4"/>
  <c r="AO36" i="4"/>
  <c r="AN36" i="4"/>
  <c r="AM36" i="4"/>
  <c r="AL36" i="4"/>
  <c r="AK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D36" i="4"/>
  <c r="C36" i="4"/>
  <c r="B36" i="4"/>
  <c r="A36" i="4"/>
  <c r="AU35" i="4"/>
  <c r="AT35" i="4"/>
  <c r="AS35" i="4"/>
  <c r="AR35" i="4"/>
  <c r="AQ35" i="4"/>
  <c r="AP35" i="4"/>
  <c r="AO35" i="4"/>
  <c r="AN35" i="4"/>
  <c r="AM35" i="4"/>
  <c r="AL35" i="4"/>
  <c r="AK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D35" i="4"/>
  <c r="C35" i="4"/>
  <c r="B35" i="4"/>
  <c r="A35" i="4"/>
  <c r="AU34" i="4"/>
  <c r="AT34" i="4"/>
  <c r="AS34" i="4"/>
  <c r="AR34" i="4"/>
  <c r="AQ34" i="4"/>
  <c r="AP34" i="4"/>
  <c r="AO34" i="4"/>
  <c r="AN34" i="4"/>
  <c r="AM34" i="4"/>
  <c r="AL34" i="4"/>
  <c r="AK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D34" i="4"/>
  <c r="C34" i="4"/>
  <c r="B34" i="4"/>
  <c r="A34" i="4"/>
  <c r="AU33" i="4"/>
  <c r="AT33" i="4"/>
  <c r="AS33" i="4"/>
  <c r="AR33" i="4"/>
  <c r="AQ33" i="4"/>
  <c r="AP33" i="4"/>
  <c r="AO33" i="4"/>
  <c r="AN33" i="4"/>
  <c r="AM33" i="4"/>
  <c r="AL33" i="4"/>
  <c r="AK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D33" i="4"/>
  <c r="C33" i="4"/>
  <c r="B33" i="4"/>
  <c r="A33" i="4"/>
  <c r="AU32" i="4"/>
  <c r="AT32" i="4"/>
  <c r="AS32" i="4"/>
  <c r="AR32" i="4"/>
  <c r="AQ32" i="4"/>
  <c r="AP32" i="4"/>
  <c r="AO32" i="4"/>
  <c r="AN32" i="4"/>
  <c r="AM32" i="4"/>
  <c r="AL32" i="4"/>
  <c r="AK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D32" i="4"/>
  <c r="C32" i="4"/>
  <c r="B32" i="4"/>
  <c r="A32" i="4"/>
  <c r="AU31" i="4"/>
  <c r="AT31" i="4"/>
  <c r="AS31" i="4"/>
  <c r="AR31" i="4"/>
  <c r="AQ31" i="4"/>
  <c r="AP31" i="4"/>
  <c r="AO31" i="4"/>
  <c r="AN31" i="4"/>
  <c r="AM31" i="4"/>
  <c r="AL31" i="4"/>
  <c r="AK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D31" i="4"/>
  <c r="C31" i="4"/>
  <c r="B31" i="4"/>
  <c r="A31" i="4"/>
  <c r="AU30" i="4"/>
  <c r="AT30" i="4"/>
  <c r="AS30" i="4"/>
  <c r="AR30" i="4"/>
  <c r="AQ30" i="4"/>
  <c r="AP30" i="4"/>
  <c r="AO30" i="4"/>
  <c r="AN30" i="4"/>
  <c r="AM30" i="4"/>
  <c r="AL30" i="4"/>
  <c r="AK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D30" i="4"/>
  <c r="C30" i="4"/>
  <c r="B30" i="4"/>
  <c r="A30" i="4"/>
  <c r="AU29" i="4"/>
  <c r="AT29" i="4"/>
  <c r="AS29" i="4"/>
  <c r="AR29"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D29" i="4"/>
  <c r="C29" i="4"/>
  <c r="B29" i="4"/>
  <c r="A29" i="4"/>
  <c r="AU28" i="4"/>
  <c r="AT28" i="4"/>
  <c r="AS28" i="4"/>
  <c r="AR28" i="4"/>
  <c r="AQ28" i="4"/>
  <c r="AP28" i="4"/>
  <c r="AO28" i="4"/>
  <c r="AN28" i="4"/>
  <c r="AM28" i="4"/>
  <c r="AL28" i="4"/>
  <c r="AK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D28" i="4"/>
  <c r="C28" i="4"/>
  <c r="B28" i="4"/>
  <c r="A28" i="4"/>
  <c r="AU27" i="4"/>
  <c r="AT27" i="4"/>
  <c r="AS27" i="4"/>
  <c r="AR27" i="4"/>
  <c r="AQ27" i="4"/>
  <c r="AP27" i="4"/>
  <c r="AO27" i="4"/>
  <c r="AN27" i="4"/>
  <c r="AM27" i="4"/>
  <c r="AL27" i="4"/>
  <c r="AK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D27" i="4"/>
  <c r="C27" i="4"/>
  <c r="B27" i="4"/>
  <c r="A27" i="4"/>
  <c r="AU26" i="4"/>
  <c r="AT26" i="4"/>
  <c r="AS26" i="4"/>
  <c r="AR26" i="4"/>
  <c r="AQ26" i="4"/>
  <c r="AP26" i="4"/>
  <c r="AO26" i="4"/>
  <c r="AN26" i="4"/>
  <c r="AM26" i="4"/>
  <c r="AL26" i="4"/>
  <c r="AK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D26" i="4"/>
  <c r="C26" i="4"/>
  <c r="B26" i="4"/>
  <c r="A26" i="4"/>
  <c r="AU25" i="4"/>
  <c r="AT25" i="4"/>
  <c r="AS25" i="4"/>
  <c r="AR25" i="4"/>
  <c r="AQ25" i="4"/>
  <c r="AP25" i="4"/>
  <c r="AO25" i="4"/>
  <c r="AN25" i="4"/>
  <c r="AM25" i="4"/>
  <c r="AL25" i="4"/>
  <c r="AK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D25" i="4"/>
  <c r="C25" i="4"/>
  <c r="B25" i="4"/>
  <c r="A25" i="4"/>
  <c r="AU24" i="4"/>
  <c r="AT24" i="4"/>
  <c r="AS24" i="4"/>
  <c r="AR24" i="4"/>
  <c r="AQ24" i="4"/>
  <c r="AP24" i="4"/>
  <c r="AO24" i="4"/>
  <c r="AN24" i="4"/>
  <c r="AM24" i="4"/>
  <c r="AL24" i="4"/>
  <c r="AK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D24" i="4"/>
  <c r="C24" i="4"/>
  <c r="B24" i="4"/>
  <c r="A24" i="4"/>
  <c r="AU23" i="4"/>
  <c r="AT23" i="4"/>
  <c r="AS23" i="4"/>
  <c r="AR23" i="4"/>
  <c r="AQ23" i="4"/>
  <c r="AP23" i="4"/>
  <c r="AO23" i="4"/>
  <c r="AN23" i="4"/>
  <c r="AM23" i="4"/>
  <c r="AL23" i="4"/>
  <c r="AK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D23" i="4"/>
  <c r="C23" i="4"/>
  <c r="B23" i="4"/>
  <c r="A23" i="4"/>
  <c r="AU22" i="4"/>
  <c r="AT22" i="4"/>
  <c r="AS22" i="4"/>
  <c r="AR22" i="4"/>
  <c r="AQ22" i="4"/>
  <c r="AP22" i="4"/>
  <c r="AO22" i="4"/>
  <c r="AN22" i="4"/>
  <c r="AM22" i="4"/>
  <c r="AL22" i="4"/>
  <c r="AK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D22" i="4"/>
  <c r="C22" i="4"/>
  <c r="B22" i="4"/>
  <c r="A22" i="4"/>
  <c r="AU21" i="4"/>
  <c r="AT21" i="4"/>
  <c r="AS21" i="4"/>
  <c r="AR21" i="4"/>
  <c r="AQ21" i="4"/>
  <c r="AP21" i="4"/>
  <c r="AO21" i="4"/>
  <c r="AN21" i="4"/>
  <c r="AM21" i="4"/>
  <c r="AL21" i="4"/>
  <c r="AK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D21" i="4"/>
  <c r="C21" i="4"/>
  <c r="B21" i="4"/>
  <c r="A21" i="4"/>
  <c r="AU20" i="4"/>
  <c r="AT20" i="4"/>
  <c r="AS20" i="4"/>
  <c r="AR20" i="4"/>
  <c r="AQ20" i="4"/>
  <c r="AP20" i="4"/>
  <c r="AO20" i="4"/>
  <c r="AN20" i="4"/>
  <c r="AM20" i="4"/>
  <c r="AL20" i="4"/>
  <c r="AK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D20" i="4"/>
  <c r="C20" i="4"/>
  <c r="B20" i="4"/>
  <c r="A20" i="4"/>
  <c r="AU19" i="4"/>
  <c r="AT19" i="4"/>
  <c r="AS19" i="4"/>
  <c r="AR19" i="4"/>
  <c r="AQ19" i="4"/>
  <c r="AP19" i="4"/>
  <c r="AO19" i="4"/>
  <c r="AN19" i="4"/>
  <c r="AM19" i="4"/>
  <c r="AL19" i="4"/>
  <c r="AK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D19" i="4"/>
  <c r="C19" i="4"/>
  <c r="B19" i="4"/>
  <c r="A19" i="4"/>
  <c r="AU18" i="4"/>
  <c r="AT18" i="4"/>
  <c r="AS18" i="4"/>
  <c r="AR18" i="4"/>
  <c r="AQ18" i="4"/>
  <c r="AP18" i="4"/>
  <c r="AO18" i="4"/>
  <c r="AN18" i="4"/>
  <c r="AM18" i="4"/>
  <c r="AL18" i="4"/>
  <c r="AK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D18" i="4"/>
  <c r="C18" i="4"/>
  <c r="B18" i="4"/>
  <c r="A18" i="4"/>
  <c r="AU17" i="4"/>
  <c r="AT17" i="4"/>
  <c r="AS17" i="4"/>
  <c r="AR17" i="4"/>
  <c r="AQ17" i="4"/>
  <c r="AP17" i="4"/>
  <c r="AO17" i="4"/>
  <c r="AN17" i="4"/>
  <c r="AM17" i="4"/>
  <c r="AL17" i="4"/>
  <c r="AK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D17" i="4"/>
  <c r="C17" i="4"/>
  <c r="B17" i="4"/>
  <c r="A17" i="4"/>
  <c r="AU16" i="4"/>
  <c r="AT16" i="4"/>
  <c r="AS16" i="4"/>
  <c r="AR16" i="4"/>
  <c r="AQ16" i="4"/>
  <c r="AP16" i="4"/>
  <c r="AO16" i="4"/>
  <c r="AN16" i="4"/>
  <c r="AM16" i="4"/>
  <c r="AL16" i="4"/>
  <c r="AK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D16" i="4"/>
  <c r="C16" i="4"/>
  <c r="B16" i="4"/>
  <c r="A16" i="4"/>
  <c r="AU15" i="4"/>
  <c r="AT15" i="4"/>
  <c r="AS15" i="4"/>
  <c r="AR15" i="4"/>
  <c r="AQ15" i="4"/>
  <c r="AP15" i="4"/>
  <c r="AO15" i="4"/>
  <c r="AN15" i="4"/>
  <c r="AM15" i="4"/>
  <c r="AL15" i="4"/>
  <c r="AK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D15" i="4"/>
  <c r="C15" i="4"/>
  <c r="B15" i="4"/>
  <c r="A15" i="4"/>
  <c r="AU14" i="4"/>
  <c r="AT14" i="4"/>
  <c r="AS14" i="4"/>
  <c r="AR14" i="4"/>
  <c r="AQ14" i="4"/>
  <c r="AP14" i="4"/>
  <c r="AO14" i="4"/>
  <c r="AN14" i="4"/>
  <c r="AM14" i="4"/>
  <c r="AL14" i="4"/>
  <c r="AK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D14" i="4"/>
  <c r="C14" i="4"/>
  <c r="B14" i="4"/>
  <c r="A14" i="4"/>
  <c r="AU13" i="4"/>
  <c r="AT13" i="4"/>
  <c r="AS13" i="4"/>
  <c r="AR13" i="4"/>
  <c r="AQ13" i="4"/>
  <c r="AP13" i="4"/>
  <c r="AO13" i="4"/>
  <c r="AN13" i="4"/>
  <c r="AM13" i="4"/>
  <c r="AL13" i="4"/>
  <c r="AK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D13" i="4"/>
  <c r="C13" i="4"/>
  <c r="B13" i="4"/>
  <c r="A13" i="4"/>
  <c r="AU12" i="4"/>
  <c r="AT12" i="4"/>
  <c r="AS12" i="4"/>
  <c r="AR12" i="4"/>
  <c r="AQ12" i="4"/>
  <c r="AP12" i="4"/>
  <c r="AO12" i="4"/>
  <c r="AN12" i="4"/>
  <c r="AM12" i="4"/>
  <c r="AL12" i="4"/>
  <c r="AK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D12" i="4"/>
  <c r="C12" i="4"/>
  <c r="B12" i="4"/>
  <c r="A12" i="4"/>
  <c r="AU11" i="4"/>
  <c r="AT11" i="4"/>
  <c r="AS11" i="4"/>
  <c r="AR11" i="4"/>
  <c r="AQ11" i="4"/>
  <c r="AP11" i="4"/>
  <c r="AO11" i="4"/>
  <c r="AN11" i="4"/>
  <c r="AM11" i="4"/>
  <c r="AL11" i="4"/>
  <c r="AK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D11" i="4"/>
  <c r="C11" i="4"/>
  <c r="B11" i="4"/>
  <c r="A11" i="4"/>
  <c r="AU10" i="4"/>
  <c r="AT10" i="4"/>
  <c r="AS10" i="4"/>
  <c r="AR10" i="4"/>
  <c r="AQ10" i="4"/>
  <c r="AP10" i="4"/>
  <c r="AO10" i="4"/>
  <c r="AN10" i="4"/>
  <c r="AM10" i="4"/>
  <c r="AL10" i="4"/>
  <c r="AK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D10" i="4"/>
  <c r="C10" i="4"/>
  <c r="B10" i="4"/>
  <c r="A10" i="4"/>
  <c r="AU9" i="4"/>
  <c r="AT9" i="4"/>
  <c r="AS9" i="4"/>
  <c r="AR9" i="4"/>
  <c r="AQ9" i="4"/>
  <c r="AP9" i="4"/>
  <c r="AO9" i="4"/>
  <c r="AN9" i="4"/>
  <c r="AM9" i="4"/>
  <c r="AL9" i="4"/>
  <c r="AK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D9" i="4"/>
  <c r="C9" i="4"/>
  <c r="B9" i="4"/>
  <c r="A9" i="4"/>
  <c r="AU8" i="4"/>
  <c r="AT8" i="4"/>
  <c r="AS8" i="4"/>
  <c r="AR8" i="4"/>
  <c r="AQ8" i="4"/>
  <c r="AP8" i="4"/>
  <c r="AO8" i="4"/>
  <c r="AN8" i="4"/>
  <c r="AM8" i="4"/>
  <c r="AL8" i="4"/>
  <c r="AK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D8" i="4"/>
  <c r="C8" i="4"/>
  <c r="B8" i="4"/>
  <c r="A8" i="4"/>
  <c r="AU7" i="4"/>
  <c r="AT7" i="4"/>
  <c r="AS7" i="4"/>
  <c r="AR7" i="4"/>
  <c r="AQ7" i="4"/>
  <c r="AP7" i="4"/>
  <c r="AO7" i="4"/>
  <c r="AN7" i="4"/>
  <c r="AM7" i="4"/>
  <c r="AL7" i="4"/>
  <c r="AK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B7" i="4"/>
  <c r="A7" i="4"/>
  <c r="AU6" i="4"/>
  <c r="AT6" i="4"/>
  <c r="AS6" i="4"/>
  <c r="AR6" i="4"/>
  <c r="AQ6" i="4"/>
  <c r="AP6" i="4"/>
  <c r="AO6" i="4"/>
  <c r="AN6" i="4"/>
  <c r="AM6" i="4"/>
  <c r="AL6" i="4"/>
  <c r="AK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D6" i="4"/>
  <c r="C6" i="4"/>
  <c r="B6" i="4"/>
  <c r="A6"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C5" i="4"/>
  <c r="B5" i="4"/>
  <c r="A5" i="4"/>
  <c r="AU4" i="4"/>
  <c r="AT4" i="4"/>
  <c r="AS4" i="4"/>
  <c r="AR4" i="4"/>
  <c r="AQ4" i="4"/>
  <c r="AP4" i="4"/>
  <c r="AO4" i="4"/>
  <c r="AN4" i="4"/>
  <c r="AM4" i="4"/>
  <c r="AL4" i="4"/>
  <c r="AK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4" i="4"/>
  <c r="B3" i="4"/>
  <c r="C3" i="4" s="1"/>
  <c r="D3" i="4" s="1"/>
  <c r="E3" i="4" s="1"/>
  <c r="F3" i="4" s="1"/>
  <c r="G3" i="4" s="1"/>
  <c r="H3" i="4" s="1"/>
  <c r="I3" i="4" s="1"/>
  <c r="J3" i="4" s="1"/>
  <c r="K3" i="4" s="1"/>
  <c r="L3" i="4" s="1"/>
  <c r="M3" i="4" s="1"/>
  <c r="N3" i="4" s="1"/>
  <c r="O3" i="4" s="1"/>
  <c r="P3" i="4" s="1"/>
  <c r="Q3" i="4" s="1"/>
  <c r="R3" i="4" s="1"/>
  <c r="S3" i="4" s="1"/>
  <c r="T3" i="4" s="1"/>
  <c r="U3" i="4" s="1"/>
  <c r="V3" i="4" s="1"/>
  <c r="W3" i="4" s="1"/>
  <c r="X3" i="4" s="1"/>
  <c r="Y3" i="4" s="1"/>
  <c r="Z3" i="4" s="1"/>
  <c r="AA3" i="4" s="1"/>
  <c r="AB3" i="4" s="1"/>
  <c r="AC3" i="4" s="1"/>
  <c r="AD3" i="4" s="1"/>
  <c r="AE3" i="4" s="1"/>
  <c r="AF3" i="4" s="1"/>
  <c r="AG3" i="4" s="1"/>
  <c r="AH3" i="4" s="1"/>
  <c r="AI3" i="4" s="1"/>
  <c r="AJ3" i="4" s="1"/>
  <c r="AK3" i="4" s="1"/>
  <c r="AL3" i="4" s="1"/>
  <c r="AM3" i="4" s="1"/>
  <c r="AN3" i="4" s="1"/>
  <c r="AO3" i="4" s="1"/>
  <c r="AP3" i="4" s="1"/>
  <c r="AQ3" i="4" s="1"/>
  <c r="AR3" i="4" s="1"/>
  <c r="AS3" i="4" s="1"/>
  <c r="AT3" i="4" s="1"/>
  <c r="AU3" i="4" s="1"/>
  <c r="AV3" i="4" s="1"/>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200-000003000000}">
      <text>
        <r>
          <rPr>
            <sz val="11"/>
            <color theme="1"/>
            <rFont val="Calibri"/>
            <scheme val="minor"/>
          </rPr>
          <t>======
ID#AAABzCvO1iE
tc={3BD7891D-DDFF-604C-8D68-29212CB35E69}    (2026-01-25 10:13:47)
[Threaded comment]
Your version of Excel allows you to read this threaded comment; however, any edits to it will get removed if the file is opened in a newer version of Excel. Learn more: https://go.microsoft.com/fwlink/?linkid=870924
Comment:
    Variable costs- operational, maintenance and fuel costs.
UNITS- ($/MWh)</t>
        </r>
      </text>
    </comment>
    <comment ref="C3" authorId="0" shapeId="0" xr:uid="{00000000-0006-0000-0200-000001000000}">
      <text>
        <r>
          <rPr>
            <sz val="11"/>
            <color theme="1"/>
            <rFont val="Calibri"/>
            <scheme val="minor"/>
          </rPr>
          <t>======
ID#AAABzCvO1iM
tc={B8C6B05E-4CDC-904A-AD00-4725E3CBDF40}    (2026-01-25 10:13:47)
[Threaded comment]
Your version of Excel allows you to read this threaded comment; however, any edits to it will get removed if the file is opened in a newer version of Excel. Learn more: https://go.microsoft.com/fwlink/?linkid=870924
Comment:
    This is only used to calculate PPA cost, if you have PPA information you don’t need to complete this column. If you do not need to complete the column you need to delete a section of the GAMs code- go to line 59 and delete the “+ cost” at the end of the line
UNITS- ($/MW/year)</t>
        </r>
      </text>
    </comment>
    <comment ref="E3" authorId="0" shapeId="0" xr:uid="{00000000-0006-0000-0200-000002000000}">
      <text>
        <r>
          <rPr>
            <sz val="11"/>
            <color theme="1"/>
            <rFont val="Calibri"/>
            <scheme val="minor"/>
          </rPr>
          <t>======
ID#AAABzCvO1iI
tc={1B8FC702-A51A-C64D-8E86-E948306660D3}    (2026-01-25 10:13:47)
[Threaded comment]
Your version of Excel allows you to read this threaded comment; however, any edits to it will get removed if the file is opened in a newer version of Excel. Learn more: https://go.microsoft.com/fwlink/?linkid=870924
Comment:
    Can use Dual Values from OSeMOSYS if this information isn’t available open source</t>
        </r>
      </text>
    </comment>
    <comment ref="F3" authorId="0" shapeId="0" xr:uid="{00000000-0006-0000-0200-000004000000}">
      <text>
        <r>
          <rPr>
            <sz val="11"/>
            <color theme="1"/>
            <rFont val="Calibri"/>
            <scheme val="minor"/>
          </rPr>
          <t>======
ID#AAABzCvO1iA
tc={67F2F948-7F51-254D-88B2-641DDC23EB87}    (2026-01-25 10:13:47)
[Threaded comment]
Your version of Excel allows you to read this threaded comment; however, any edits to it will get removed if the file is opened in a newer version of Excel. Learn more: https://go.microsoft.com/fwlink/?linkid=870924
Comment:
    UNITS- MW</t>
        </r>
      </text>
    </comment>
  </commentList>
  <extLst>
    <ext xmlns:r="http://schemas.openxmlformats.org/officeDocument/2006/relationships" uri="GoogleSheetsCustomDataVersion2">
      <go:sheetsCustomData xmlns:go="http://customooxmlschemas.google.com/" r:id="rId1" roundtripDataSignature="AMtx7mh0o2PU3Nw3NbvycmeMeGl6SV37MA=="/>
    </ext>
  </extLst>
</comments>
</file>

<file path=xl/sharedStrings.xml><?xml version="1.0" encoding="utf-8"?>
<sst xmlns="http://schemas.openxmlformats.org/spreadsheetml/2006/main" count="584" uniqueCount="202">
  <si>
    <t>FFRM</t>
  </si>
  <si>
    <t>Fossil Fuel Retirement Model</t>
  </si>
  <si>
    <t>FFRM Input File - Guide</t>
  </si>
  <si>
    <t>Document structure</t>
  </si>
  <si>
    <t>Version 1.0</t>
  </si>
  <si>
    <t xml:space="preserve">     Other</t>
  </si>
  <si>
    <t>The Fossil Fuel Retirement Model (FFRM), is a ….</t>
  </si>
  <si>
    <t xml:space="preserve">     Plant Data</t>
  </si>
  <si>
    <t xml:space="preserve">     FC_PPA</t>
  </si>
  <si>
    <t xml:space="preserve">     Price_Gen</t>
  </si>
  <si>
    <t xml:space="preserve">     Price_Distribution</t>
  </si>
  <si>
    <t>Parameter Constraints</t>
  </si>
  <si>
    <t>-</t>
  </si>
  <si>
    <t xml:space="preserve">      CCG in Collaboration With: </t>
  </si>
  <si>
    <t>Name</t>
  </si>
  <si>
    <t>Description</t>
  </si>
  <si>
    <t>Capacity (MW)</t>
  </si>
  <si>
    <t>Capital Cost</t>
  </si>
  <si>
    <t>The parameter capital cost refers to the initial investment required for the construction or acquisition of long-term energy infrastructure, such as power plants or renewable energy systems, typically expressed in $/kW.</t>
  </si>
  <si>
    <t>CostEsc_10-30years</t>
  </si>
  <si>
    <t>CAGR at which plant varible costs are escalated, for plants between 10 and 30 years old</t>
  </si>
  <si>
    <t>CostEsc_30plus</t>
  </si>
  <si>
    <t>CAGR at which plant varible costs are escalated, for plants older than 30 years</t>
  </si>
  <si>
    <t>CostEsc_Lessthan10</t>
  </si>
  <si>
    <t>CAGR at which plant varible costs are escalated, for plants less than 10 years old</t>
  </si>
  <si>
    <t>Scenarios</t>
  </si>
  <si>
    <t>Technologies</t>
  </si>
  <si>
    <t>Discount Rate</t>
  </si>
  <si>
    <t>The parameter discount rate refers to the rate used to discount future cash flows to their present value, based on the future weighted average cost of capital (WACC).</t>
  </si>
  <si>
    <t>Electricity Production</t>
  </si>
  <si>
    <t>The parameter electricity production refers to the total amount of electricity generated at a national scale, expressed in petajoules (PJ).</t>
  </si>
  <si>
    <t>BAU</t>
  </si>
  <si>
    <t>Scenario Name 1 (Baseline)</t>
  </si>
  <si>
    <t>PWRCOA001</t>
  </si>
  <si>
    <t>Coal power plant</t>
  </si>
  <si>
    <t>Fixed Cost</t>
  </si>
  <si>
    <t>The parameter fixed cost refers to the ongoing expenses that remain constant over time, regardless of the level of energy production, such as maintenance or operational costs,  typically expressed in millions of USD.</t>
  </si>
  <si>
    <t>AD_20</t>
  </si>
  <si>
    <t>Scenario Name 2 (More Ambitious)</t>
  </si>
  <si>
    <t>PWROHC001</t>
  </si>
  <si>
    <t>Light fuel oil power plant</t>
  </si>
  <si>
    <t>Generation (TWh)</t>
  </si>
  <si>
    <t>AD_40</t>
  </si>
  <si>
    <t>PWROHC002</t>
  </si>
  <si>
    <t>Oil fired gas turbine - SCGT</t>
  </si>
  <si>
    <t>Interest Rate</t>
  </si>
  <si>
    <t>AD_60</t>
  </si>
  <si>
    <t>PWRNGS001</t>
  </si>
  <si>
    <t>Natural gas power plant - CCGT</t>
  </si>
  <si>
    <t>Loan Term</t>
  </si>
  <si>
    <t>AD_80</t>
  </si>
  <si>
    <t>PWRNGS002</t>
  </si>
  <si>
    <t>Nautral gas power plant - SCGT</t>
  </si>
  <si>
    <t>Marginal Revenue ($/MWh)</t>
  </si>
  <si>
    <t xml:space="preserve"> </t>
  </si>
  <si>
    <t>PWROHC003</t>
  </si>
  <si>
    <t>Light fuel oil standalone generator (1kW)</t>
  </si>
  <si>
    <t>Market Price ($/MWh)</t>
  </si>
  <si>
    <t>MaxLife</t>
  </si>
  <si>
    <t>Max life beyond which plant must be retired</t>
  </si>
  <si>
    <t>MaxPLF</t>
  </si>
  <si>
    <t>Max PLF</t>
  </si>
  <si>
    <t>Consumer Segments</t>
  </si>
  <si>
    <t>Start Year</t>
  </si>
  <si>
    <t>MinPLF</t>
  </si>
  <si>
    <t>Minimum PLF below which plant is retired</t>
  </si>
  <si>
    <t>End Year</t>
  </si>
  <si>
    <t>Name of Project</t>
  </si>
  <si>
    <t xml:space="preserve">The name of the project receiving financing.  </t>
  </si>
  <si>
    <t>Residential</t>
  </si>
  <si>
    <t>Households and individual consumers that use electricity for daily living activities, such as lighting, appliances, and heating.</t>
  </si>
  <si>
    <t>Plant Name</t>
  </si>
  <si>
    <t>Commercial</t>
  </si>
  <si>
    <t>Businesses and small enterprises that require electricity to power operations, including office equipment, lighting, and HVAC systems.</t>
  </si>
  <si>
    <t>Plant Type</t>
  </si>
  <si>
    <t>Industrial</t>
  </si>
  <si>
    <t>Large-scale manufacturers and factories that consume high levels of energy to operate machinery, production lines, and other industrial processes.</t>
  </si>
  <si>
    <t>PPA Price ($/MWh)</t>
  </si>
  <si>
    <t>Price Regime</t>
  </si>
  <si>
    <t>Share of Generation</t>
  </si>
  <si>
    <t>Straight-line depreciation</t>
  </si>
  <si>
    <t>Tariff</t>
  </si>
  <si>
    <t>MinCapacity</t>
  </si>
  <si>
    <t xml:space="preserve">This parameter relates to </t>
  </si>
  <si>
    <t>Variable Cost</t>
  </si>
  <si>
    <t>The parameter variable cost refers to the expenses that change in direct proportion to the level of energy production or consumption, such as fuel or operational costs, typically expressed in millions of USD.</t>
  </si>
  <si>
    <t>Other</t>
  </si>
  <si>
    <t>Variable</t>
  </si>
  <si>
    <t>Technology</t>
  </si>
  <si>
    <t>Value</t>
  </si>
  <si>
    <t>DiscountRate</t>
  </si>
  <si>
    <t>CoalCapex $/kW</t>
  </si>
  <si>
    <t>Plant Data</t>
  </si>
  <si>
    <t>Variable Cost ($/MWh)</t>
  </si>
  <si>
    <t>Fixed Cost ($/MWh)</t>
  </si>
  <si>
    <t>ContractPriceMW</t>
  </si>
  <si>
    <t>Balingasag power stationUnit 1</t>
  </si>
  <si>
    <t>PPA</t>
  </si>
  <si>
    <t>Balingasag power stationUnit 2</t>
  </si>
  <si>
    <t>Balingasag power stationUnit 3</t>
  </si>
  <si>
    <t>Bundagul power station</t>
  </si>
  <si>
    <t>Calaca power stationUnit 1</t>
  </si>
  <si>
    <t>Calaca power stationUnit 2</t>
  </si>
  <si>
    <t>Calaca power stationUnit 3</t>
  </si>
  <si>
    <t>Calaca power stationUnit 4</t>
  </si>
  <si>
    <t>Cebu Energy power stationUnit 1</t>
  </si>
  <si>
    <t>Cebu Energy power stationUnit 2</t>
  </si>
  <si>
    <t>Cebu Energy power stationUnit 3</t>
  </si>
  <si>
    <t>Concepcion power stationUnit 1</t>
  </si>
  <si>
    <t>Davao San Miguel power stationUnit 1</t>
  </si>
  <si>
    <t>Davao San Miguel power stationUnit 2</t>
  </si>
  <si>
    <t>Davao Therma South power stationUnit 1</t>
  </si>
  <si>
    <t>Davao Therma South power stationUnit 2</t>
  </si>
  <si>
    <t>Dinginin power stationUnit 1</t>
  </si>
  <si>
    <t>Dinginin power stationUnit 2</t>
  </si>
  <si>
    <t>Kamanga power stationUnit 1</t>
  </si>
  <si>
    <t>Kamanga power stationUnit 2</t>
  </si>
  <si>
    <t>Lanao Kauswagan power stationUnit 1</t>
  </si>
  <si>
    <t>Lanao Kauswagan power stationUnit 2</t>
  </si>
  <si>
    <t>Lanao Kauswagan power stationUnit 3</t>
  </si>
  <si>
    <t>Lanao Kauswagan power stationUnit 4</t>
  </si>
  <si>
    <t>Limay power stationUnit 1</t>
  </si>
  <si>
    <t>Limay power stationUnit 2</t>
  </si>
  <si>
    <t>Limay power stationUnit 3</t>
  </si>
  <si>
    <t>Limay power stationUnit 4</t>
  </si>
  <si>
    <t>Mabalacat Mill power station</t>
  </si>
  <si>
    <t>Mariveles Power PlantUnit 1</t>
  </si>
  <si>
    <t>Mariveles Power PlantUnit 2</t>
  </si>
  <si>
    <t>Masinloc power stationUnit 1</t>
  </si>
  <si>
    <t>Masinloc power stationUnit 2</t>
  </si>
  <si>
    <t>Masinloc power stationUnit 3</t>
  </si>
  <si>
    <t>Mindanao Steag power stationUnit 1</t>
  </si>
  <si>
    <t>Mindanao Steag power stationUnit 2</t>
  </si>
  <si>
    <t>Misamis Oriental power stationUnit 1</t>
  </si>
  <si>
    <t>Misamis Oriental power stationUnit 2</t>
  </si>
  <si>
    <t>Misamis Oriental power stationUnit 3</t>
  </si>
  <si>
    <t>Naga power stationUnit 2-1</t>
  </si>
  <si>
    <t>Naga power stationUnit 2-2</t>
  </si>
  <si>
    <t>Pagbilao power stationUnit 1</t>
  </si>
  <si>
    <t>Pagbilao power stationUnit 2</t>
  </si>
  <si>
    <t>Pagbilao power stationUnit 3</t>
  </si>
  <si>
    <t>Panay power stationUnit 1</t>
  </si>
  <si>
    <t>Panay power stationUnit 2</t>
  </si>
  <si>
    <t>Panay power stationUnit 3</t>
  </si>
  <si>
    <t>Petron Refinery power stationUnit 1</t>
  </si>
  <si>
    <t>Petron Refinery power stationUnit 2</t>
  </si>
  <si>
    <t>Petron Refinery power stationUnit 3</t>
  </si>
  <si>
    <t>Petron Refinery power stationUnit 4</t>
  </si>
  <si>
    <t>Puting Bato power stationUnit 1</t>
  </si>
  <si>
    <t>Puting Bato power stationUnit 2</t>
  </si>
  <si>
    <t>Quezon power stationUnit 1</t>
  </si>
  <si>
    <t>Quezon power stationUnit 2</t>
  </si>
  <si>
    <t>SMC Mariveles power stationPhase I Unit 1</t>
  </si>
  <si>
    <t>SMC Mariveles power stationPhase I Unit 2</t>
  </si>
  <si>
    <t>SMC Mariveles power stationPhase I Unit 3</t>
  </si>
  <si>
    <t>SMC Mariveles power stationPhase I Unit 4</t>
  </si>
  <si>
    <t>Sual power stationUnit 1</t>
  </si>
  <si>
    <t>Sual power stationUnit 2</t>
  </si>
  <si>
    <t>Therma Visayas Energy ProjectUnit 1</t>
  </si>
  <si>
    <t>Therma Visayas Energy ProjectUnit 2</t>
  </si>
  <si>
    <t>Toledo City power stationUnit 3</t>
  </si>
  <si>
    <t>United Pulp &amp; Paper power station</t>
  </si>
  <si>
    <t>Bataan power stationA</t>
  </si>
  <si>
    <t>Market Price</t>
  </si>
  <si>
    <t>Bataan power stationB</t>
  </si>
  <si>
    <t>Batangas Combined Cycle power plant46023</t>
  </si>
  <si>
    <t>Batangas Combined Cycle power plant46024</t>
  </si>
  <si>
    <t>Bauang La Union Diesel power plant1</t>
  </si>
  <si>
    <t>Iligan Diesel power plant1</t>
  </si>
  <si>
    <t>Ilijan power station46023</t>
  </si>
  <si>
    <t>Ilijan power station46024</t>
  </si>
  <si>
    <t>Ingrid power station1</t>
  </si>
  <si>
    <t>Malaya Thermal power station1</t>
  </si>
  <si>
    <t>Malaya Thermal power station2</t>
  </si>
  <si>
    <t>Millennium Gas Turbine Power Plant1</t>
  </si>
  <si>
    <t>San Gabriel power station1</t>
  </si>
  <si>
    <t>San Lorenzo power station1</t>
  </si>
  <si>
    <t>San Lorenzo power station2</t>
  </si>
  <si>
    <t>Santa Rita power station1</t>
  </si>
  <si>
    <t>Santa Rita power station2</t>
  </si>
  <si>
    <t>Santa Rita power station3</t>
  </si>
  <si>
    <t>Santa Rita power station4</t>
  </si>
  <si>
    <t>Subic diesel power station1</t>
  </si>
  <si>
    <t>Therma Marine Inc (TMI) 1 power barge power station1</t>
  </si>
  <si>
    <t>Therma Marine Inc (TMI) 2 power barge power station2</t>
  </si>
  <si>
    <t>Therma Mobile, Inc. (TMO) power station1</t>
  </si>
  <si>
    <t>Western Mindanao Power Corporation (WMPC) Zamboanga power station1</t>
  </si>
  <si>
    <t>Average revenue earned by ALL plants in $/MWh either from market or from a PPA and total coal generation forecast in TWh</t>
  </si>
  <si>
    <t>Scenario</t>
  </si>
  <si>
    <t>Generation Constraint (TWh)</t>
  </si>
  <si>
    <t>Price distribution (multiple of average price in Price_Gen over the years A3-K24 in different time blocks and % of time in each time block in column O)</t>
  </si>
  <si>
    <t>Peak1</t>
  </si>
  <si>
    <t>Peak2</t>
  </si>
  <si>
    <t>Peak3</t>
  </si>
  <si>
    <t>Shouder1</t>
  </si>
  <si>
    <t>Shouder2</t>
  </si>
  <si>
    <t>Shouder3</t>
  </si>
  <si>
    <t>Shouder4</t>
  </si>
  <si>
    <t>Shouder5</t>
  </si>
  <si>
    <t>Offpeak1</t>
  </si>
  <si>
    <t>Offpeak2</t>
  </si>
  <si>
    <t>PercentTime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</si>
</sst>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yyyy"/>
    <numFmt numFmtId="165" formatCode="0.0%"/>
    <numFmt numFmtId="166" formatCode="[$£-809]#,##0.00"/>
    <numFmt numFmtId="167" formatCode="[$$-409]#,##0.00"/>
  </numFmts>
  <fonts count="28" x14ac:knownFonts="1">
    <font>
      <sz val="11"/>
      <color theme="1"/>
      <name val="Calibri"/>
      <scheme val="minor"/>
    </font>
    <font>
      <sz val="11"/>
      <color theme="1"/>
      <name val="Calibri"/>
      <family val="2"/>
    </font>
    <font>
      <b/>
      <sz val="36"/>
      <color theme="0"/>
      <name val="Aptos Narrow"/>
    </font>
    <font>
      <b/>
      <sz val="72"/>
      <color theme="0"/>
      <name val="Aptos Narrow"/>
    </font>
    <font>
      <sz val="22"/>
      <color theme="0"/>
      <name val="Calibri"/>
      <family val="2"/>
    </font>
    <font>
      <sz val="12"/>
      <color theme="1"/>
      <name val="Aptos Narrow"/>
    </font>
    <font>
      <b/>
      <sz val="24"/>
      <color theme="0"/>
      <name val="Aptos Narrow"/>
    </font>
    <font>
      <sz val="12"/>
      <color theme="0"/>
      <name val="Aptos Narrow"/>
    </font>
    <font>
      <b/>
      <sz val="22"/>
      <color theme="0"/>
      <name val="Aptos Narrow"/>
    </font>
    <font>
      <sz val="22"/>
      <color theme="1"/>
      <name val="Aptos Narrow"/>
    </font>
    <font>
      <sz val="11"/>
      <name val="Calibri"/>
      <family val="2"/>
    </font>
    <font>
      <sz val="14"/>
      <color theme="1"/>
      <name val="Aptos Narrow"/>
    </font>
    <font>
      <b/>
      <sz val="15"/>
      <color theme="0"/>
      <name val="Aptos Narrow"/>
    </font>
    <font>
      <sz val="16"/>
      <color theme="1"/>
      <name val="Aptos Narrow"/>
    </font>
    <font>
      <b/>
      <sz val="15"/>
      <color rgb="FF000000"/>
      <name val="Aptos Narrow"/>
    </font>
    <font>
      <b/>
      <sz val="16"/>
      <color theme="1"/>
      <name val="Aptos Narrow"/>
    </font>
    <font>
      <b/>
      <i/>
      <sz val="14"/>
      <color theme="1"/>
      <name val="Aptos Narrow"/>
    </font>
    <font>
      <sz val="12"/>
      <color theme="1"/>
      <name val="Calibri"/>
      <family val="2"/>
    </font>
    <font>
      <b/>
      <sz val="12"/>
      <color theme="0"/>
      <name val="Aptos Narrow"/>
    </font>
    <font>
      <sz val="11"/>
      <color rgb="FF000000"/>
      <name val="Aptos Narrow"/>
    </font>
    <font>
      <b/>
      <sz val="20"/>
      <color theme="0"/>
      <name val="Calibri"/>
      <family val="2"/>
    </font>
    <font>
      <b/>
      <sz val="11"/>
      <color theme="1"/>
      <name val="Calibri"/>
      <family val="2"/>
    </font>
    <font>
      <sz val="11"/>
      <color theme="1"/>
      <name val="Calibri"/>
      <family val="2"/>
      <scheme val="minor"/>
    </font>
    <font>
      <sz val="11"/>
      <color rgb="FF0070C0"/>
      <name val="Calibri"/>
      <family val="2"/>
    </font>
    <font>
      <i/>
      <sz val="11"/>
      <color theme="1"/>
      <name val="Calibri"/>
      <family val="2"/>
    </font>
    <font>
      <sz val="11"/>
      <color theme="1"/>
      <name val="Arial"/>
      <family val="2"/>
    </font>
    <font>
      <b/>
      <sz val="11"/>
      <color theme="0"/>
      <name val="Calibri"/>
      <family val="2"/>
    </font>
    <font>
      <sz val="11"/>
      <color theme="1"/>
      <name val="Arial"/>
      <family val="2"/>
    </font>
  </fonts>
  <fills count="9">
    <fill>
      <patternFill patternType="none"/>
    </fill>
    <fill>
      <patternFill patternType="gray125"/>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FEF2CB"/>
        <bgColor rgb="FFFEF2CB"/>
      </patternFill>
    </fill>
    <fill>
      <patternFill patternType="solid">
        <fgColor rgb="FFFFFF00"/>
        <bgColor rgb="FFFFFF00"/>
      </patternFill>
    </fill>
    <fill>
      <patternFill patternType="solid">
        <fgColor theme="1"/>
        <bgColor theme="1"/>
      </patternFill>
    </fill>
    <fill>
      <patternFill patternType="solid">
        <fgColor rgb="FFE7E6E6"/>
        <bgColor rgb="FFE7E6E6"/>
      </patternFill>
    </fill>
  </fills>
  <borders count="22">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8">
    <xf numFmtId="0" fontId="0" fillId="0" borderId="0" xfId="0"/>
    <xf numFmtId="11" fontId="1" fillId="2" borderId="1" xfId="0" applyNumberFormat="1" applyFont="1" applyFill="1" applyBorder="1"/>
    <xf numFmtId="0" fontId="1" fillId="2" borderId="1" xfId="0" applyFont="1" applyFill="1" applyBorder="1"/>
    <xf numFmtId="0" fontId="2" fillId="2" borderId="1" xfId="0" applyFont="1" applyFill="1" applyBorder="1" applyAlignment="1">
      <alignment vertical="center"/>
    </xf>
    <xf numFmtId="0" fontId="3" fillId="2" borderId="1" xfId="0" applyFont="1" applyFill="1" applyBorder="1" applyAlignment="1">
      <alignment vertical="center"/>
    </xf>
    <xf numFmtId="0" fontId="4" fillId="2" borderId="1" xfId="0" applyFont="1" applyFill="1" applyBorder="1"/>
    <xf numFmtId="0" fontId="5" fillId="0" borderId="0" xfId="0" applyFont="1"/>
    <xf numFmtId="0" fontId="6" fillId="2" borderId="1" xfId="0" applyFont="1" applyFill="1" applyBorder="1" applyAlignment="1">
      <alignment vertical="center"/>
    </xf>
    <xf numFmtId="0" fontId="7" fillId="2" borderId="1" xfId="0" applyFont="1" applyFill="1" applyBorder="1"/>
    <xf numFmtId="0" fontId="5" fillId="2" borderId="1" xfId="0" applyFont="1" applyFill="1" applyBorder="1"/>
    <xf numFmtId="0" fontId="8" fillId="2" borderId="1" xfId="0" applyFont="1" applyFill="1" applyBorder="1" applyAlignment="1">
      <alignment horizontal="left" vertical="top"/>
    </xf>
    <xf numFmtId="0" fontId="11" fillId="0" borderId="0" xfId="0" applyFont="1" applyAlignment="1">
      <alignment vertical="center" wrapText="1"/>
    </xf>
    <xf numFmtId="0" fontId="12" fillId="2" borderId="5" xfId="0" applyFont="1" applyFill="1" applyBorder="1" applyAlignment="1">
      <alignment horizontal="left" vertical="top"/>
    </xf>
    <xf numFmtId="0" fontId="7" fillId="2" borderId="6" xfId="0" applyFont="1" applyFill="1" applyBorder="1"/>
    <xf numFmtId="0" fontId="12" fillId="2" borderId="10" xfId="0" applyFont="1" applyFill="1" applyBorder="1" applyAlignment="1">
      <alignment horizontal="left" vertical="top"/>
    </xf>
    <xf numFmtId="0" fontId="7" fillId="2" borderId="11" xfId="0" applyFont="1" applyFill="1" applyBorder="1"/>
    <xf numFmtId="0" fontId="12" fillId="2" borderId="14" xfId="0" applyFont="1" applyFill="1" applyBorder="1" applyAlignment="1">
      <alignment horizontal="left" vertical="top"/>
    </xf>
    <xf numFmtId="0" fontId="7" fillId="2" borderId="15" xfId="0" applyFont="1" applyFill="1" applyBorder="1"/>
    <xf numFmtId="0" fontId="14" fillId="4" borderId="1" xfId="0" applyFont="1" applyFill="1" applyBorder="1" applyAlignment="1">
      <alignment horizontal="left" vertical="top"/>
    </xf>
    <xf numFmtId="0" fontId="7" fillId="0" borderId="0" xfId="0" applyFont="1"/>
    <xf numFmtId="0" fontId="16" fillId="0" borderId="12" xfId="0" applyFont="1" applyBorder="1"/>
    <xf numFmtId="0" fontId="16" fillId="0" borderId="13" xfId="0" applyFont="1" applyBorder="1"/>
    <xf numFmtId="0" fontId="5" fillId="0" borderId="12" xfId="0" applyFont="1" applyBorder="1"/>
    <xf numFmtId="0" fontId="5" fillId="0" borderId="13" xfId="0" applyFont="1" applyBorder="1"/>
    <xf numFmtId="0" fontId="17" fillId="0" borderId="12" xfId="0" applyFont="1" applyBorder="1" applyAlignment="1">
      <alignment horizontal="left"/>
    </xf>
    <xf numFmtId="0" fontId="17" fillId="0" borderId="13" xfId="0" applyFont="1" applyBorder="1" applyAlignment="1">
      <alignment vertical="center"/>
    </xf>
    <xf numFmtId="0" fontId="5" fillId="5" borderId="10" xfId="0" applyFont="1" applyFill="1" applyBorder="1"/>
    <xf numFmtId="0" fontId="5" fillId="5" borderId="10" xfId="0" applyFont="1" applyFill="1" applyBorder="1" applyAlignment="1">
      <alignment horizontal="left" vertical="center"/>
    </xf>
    <xf numFmtId="0" fontId="5" fillId="5" borderId="11" xfId="0" applyFont="1" applyFill="1" applyBorder="1" applyAlignment="1">
      <alignment horizontal="left" vertical="center"/>
    </xf>
    <xf numFmtId="0" fontId="1" fillId="0" borderId="12" xfId="0" applyFont="1" applyBorder="1"/>
    <xf numFmtId="0" fontId="17" fillId="0" borderId="13" xfId="0" applyFont="1" applyBorder="1"/>
    <xf numFmtId="0" fontId="5" fillId="5" borderId="14" xfId="0" applyFont="1" applyFill="1" applyBorder="1"/>
    <xf numFmtId="0" fontId="5" fillId="0" borderId="18" xfId="0" applyFont="1" applyBorder="1"/>
    <xf numFmtId="0" fontId="5" fillId="5" borderId="14" xfId="0" applyFont="1" applyFill="1" applyBorder="1" applyAlignment="1">
      <alignment horizontal="left" vertical="center"/>
    </xf>
    <xf numFmtId="0" fontId="5" fillId="5" borderId="15" xfId="0" applyFont="1" applyFill="1" applyBorder="1" applyAlignment="1">
      <alignment horizontal="left" vertical="center"/>
    </xf>
    <xf numFmtId="0" fontId="17" fillId="0" borderId="13" xfId="0" applyFont="1" applyBorder="1" applyAlignment="1">
      <alignment horizontal="left" vertical="center"/>
    </xf>
    <xf numFmtId="0" fontId="12" fillId="0" borderId="0" xfId="0" applyFont="1" applyAlignment="1">
      <alignment vertical="top"/>
    </xf>
    <xf numFmtId="0" fontId="18" fillId="2" borderId="5" xfId="0" applyFont="1" applyFill="1" applyBorder="1"/>
    <xf numFmtId="164" fontId="1" fillId="5" borderId="6" xfId="0" applyNumberFormat="1" applyFont="1" applyFill="1" applyBorder="1" applyAlignment="1">
      <alignment horizontal="right" vertical="center"/>
    </xf>
    <xf numFmtId="0" fontId="19" fillId="0" borderId="0" xfId="0" applyFont="1"/>
    <xf numFmtId="0" fontId="18" fillId="2" borderId="14" xfId="0" applyFont="1" applyFill="1" applyBorder="1"/>
    <xf numFmtId="164" fontId="1" fillId="5" borderId="15" xfId="0" applyNumberFormat="1" applyFont="1" applyFill="1" applyBorder="1" applyAlignment="1">
      <alignment horizontal="right" vertical="center"/>
    </xf>
    <xf numFmtId="0" fontId="5" fillId="0" borderId="12" xfId="0" applyFont="1" applyBorder="1" applyAlignment="1">
      <alignment horizontal="left"/>
    </xf>
    <xf numFmtId="0" fontId="5" fillId="0" borderId="16" xfId="0" applyFont="1" applyBorder="1"/>
    <xf numFmtId="0" fontId="2" fillId="2" borderId="1" xfId="0" applyFont="1" applyFill="1" applyBorder="1" applyAlignment="1">
      <alignment horizontal="left"/>
    </xf>
    <xf numFmtId="0" fontId="20" fillId="2" borderId="1" xfId="0" applyFont="1" applyFill="1" applyBorder="1" applyAlignment="1">
      <alignment vertical="center"/>
    </xf>
    <xf numFmtId="0" fontId="20" fillId="2" borderId="1" xfId="0" applyFont="1" applyFill="1" applyBorder="1"/>
    <xf numFmtId="0" fontId="21" fillId="3" borderId="1" xfId="0" applyFont="1" applyFill="1" applyBorder="1"/>
    <xf numFmtId="0" fontId="21" fillId="3" borderId="1" xfId="0" applyFont="1" applyFill="1" applyBorder="1" applyAlignment="1">
      <alignment horizontal="right"/>
    </xf>
    <xf numFmtId="0" fontId="22" fillId="0" borderId="0" xfId="0" applyFont="1"/>
    <xf numFmtId="9" fontId="23" fillId="0" borderId="0" xfId="0" applyNumberFormat="1" applyFont="1" applyAlignment="1">
      <alignment horizontal="right"/>
    </xf>
    <xf numFmtId="0" fontId="23" fillId="0" borderId="0" xfId="0" applyFont="1" applyAlignment="1">
      <alignment horizontal="right"/>
    </xf>
    <xf numFmtId="0" fontId="1" fillId="0" borderId="0" xfId="0" applyFont="1" applyAlignment="1">
      <alignment horizontal="left"/>
    </xf>
    <xf numFmtId="165" fontId="23" fillId="0" borderId="0" xfId="0" applyNumberFormat="1" applyFont="1"/>
    <xf numFmtId="0" fontId="23" fillId="0" borderId="0" xfId="0" applyFont="1"/>
    <xf numFmtId="0" fontId="24" fillId="0" borderId="0" xfId="0" applyFont="1" applyAlignment="1">
      <alignment horizontal="left"/>
    </xf>
    <xf numFmtId="166" fontId="22" fillId="0" borderId="0" xfId="0" applyNumberFormat="1" applyFont="1"/>
    <xf numFmtId="43" fontId="23" fillId="0" borderId="0" xfId="0" applyNumberFormat="1" applyFont="1"/>
    <xf numFmtId="0" fontId="1" fillId="6" borderId="1" xfId="0" applyFont="1" applyFill="1" applyBorder="1"/>
    <xf numFmtId="0" fontId="21" fillId="3" borderId="1" xfId="0" applyFont="1" applyFill="1" applyBorder="1" applyAlignment="1">
      <alignment horizontal="center"/>
    </xf>
    <xf numFmtId="0" fontId="25" fillId="0" borderId="0" xfId="0" applyFont="1"/>
    <xf numFmtId="167" fontId="1" fillId="0" borderId="0" xfId="0" applyNumberFormat="1" applyFont="1" applyAlignment="1">
      <alignment horizontal="center"/>
    </xf>
    <xf numFmtId="0" fontId="25" fillId="0" borderId="0" xfId="0" applyFont="1" applyAlignment="1">
      <alignment horizontal="right"/>
    </xf>
    <xf numFmtId="0" fontId="21" fillId="3" borderId="1" xfId="0" applyFont="1" applyFill="1" applyBorder="1" applyAlignment="1">
      <alignment wrapText="1"/>
    </xf>
    <xf numFmtId="164" fontId="26" fillId="7" borderId="1" xfId="0" applyNumberFormat="1" applyFont="1" applyFill="1" applyBorder="1" applyAlignment="1">
      <alignment horizontal="left" wrapText="1"/>
    </xf>
    <xf numFmtId="1" fontId="1" fillId="0" borderId="0" xfId="0" applyNumberFormat="1" applyFont="1" applyAlignment="1">
      <alignment wrapText="1"/>
    </xf>
    <xf numFmtId="0" fontId="1" fillId="0" borderId="17" xfId="0" applyFont="1" applyBorder="1"/>
    <xf numFmtId="0" fontId="27" fillId="0" borderId="0" xfId="0" applyFont="1" applyAlignment="1">
      <alignment horizontal="right"/>
    </xf>
    <xf numFmtId="0" fontId="1" fillId="0" borderId="0" xfId="0" applyFont="1" applyAlignment="1">
      <alignment horizontal="right"/>
    </xf>
    <xf numFmtId="0" fontId="1" fillId="0" borderId="21" xfId="0" applyFont="1" applyBorder="1"/>
    <xf numFmtId="2" fontId="1" fillId="8" borderId="1" xfId="0" applyNumberFormat="1" applyFont="1" applyFill="1" applyBorder="1"/>
    <xf numFmtId="9" fontId="1" fillId="8" borderId="21" xfId="0" applyNumberFormat="1" applyFont="1" applyFill="1" applyBorder="1"/>
    <xf numFmtId="0" fontId="9" fillId="3"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3" fillId="3" borderId="7" xfId="0" applyFont="1" applyFill="1" applyBorder="1" applyAlignment="1">
      <alignment horizontal="center" vertical="center" wrapText="1"/>
    </xf>
    <xf numFmtId="0" fontId="10" fillId="0" borderId="8" xfId="0" applyFont="1" applyBorder="1"/>
    <xf numFmtId="0" fontId="10" fillId="0" borderId="9" xfId="0" applyFont="1" applyBorder="1"/>
    <xf numFmtId="0" fontId="10" fillId="0" borderId="12" xfId="0" applyFont="1" applyBorder="1"/>
    <xf numFmtId="0" fontId="0" fillId="0" borderId="0" xfId="0"/>
    <xf numFmtId="0" fontId="10" fillId="0" borderId="13" xfId="0" applyFont="1" applyBorder="1"/>
    <xf numFmtId="0" fontId="10" fillId="0" borderId="16" xfId="0" applyFont="1" applyBorder="1"/>
    <xf numFmtId="0" fontId="10" fillId="0" borderId="17" xfId="0" applyFont="1" applyBorder="1"/>
    <xf numFmtId="0" fontId="10" fillId="0" borderId="18" xfId="0" applyFont="1" applyBorder="1"/>
    <xf numFmtId="0" fontId="12" fillId="2" borderId="19" xfId="0" applyFont="1" applyFill="1" applyBorder="1" applyAlignment="1">
      <alignment horizontal="center" vertical="top"/>
    </xf>
    <xf numFmtId="0" fontId="10" fillId="0" borderId="20" xfId="0" applyFont="1" applyBorder="1"/>
    <xf numFmtId="0" fontId="15" fillId="3" borderId="7" xfId="0" applyFont="1" applyFill="1" applyBorder="1" applyAlignment="1">
      <alignment horizontal="left" vertical="center" wrapText="1"/>
    </xf>
    <xf numFmtId="0" fontId="12" fillId="2" borderId="19"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8</xdr:col>
      <xdr:colOff>1238250</xdr:colOff>
      <xdr:row>0</xdr:row>
      <xdr:rowOff>0</xdr:rowOff>
    </xdr:from>
    <xdr:ext cx="2409825" cy="1066800"/>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609600</xdr:colOff>
      <xdr:row>0</xdr:row>
      <xdr:rowOff>133350</xdr:rowOff>
    </xdr:from>
    <xdr:ext cx="4267200" cy="126682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1314450</xdr:colOff>
      <xdr:row>2</xdr:row>
      <xdr:rowOff>1152525</xdr:rowOff>
    </xdr:from>
    <xdr:ext cx="3209925" cy="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6</xdr:col>
      <xdr:colOff>0</xdr:colOff>
      <xdr:row>16</xdr:row>
      <xdr:rowOff>47625</xdr:rowOff>
    </xdr:from>
    <xdr:ext cx="3819525" cy="800100"/>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4.5" defaultRowHeight="15" customHeight="1" x14ac:dyDescent="0.2"/>
  <cols>
    <col min="1" max="1" width="5.5" customWidth="1"/>
    <col min="2" max="2" width="24.83203125" customWidth="1"/>
    <col min="3" max="3" width="17.5" customWidth="1"/>
    <col min="4" max="4" width="10.83203125" customWidth="1"/>
    <col min="5" max="6" width="17.5" customWidth="1"/>
    <col min="7" max="7" width="10.83203125" customWidth="1"/>
    <col min="8" max="8" width="16" customWidth="1"/>
    <col min="9" max="9" width="37.5" customWidth="1"/>
    <col min="10" max="10" width="14.6640625" customWidth="1"/>
    <col min="11" max="12" width="14" customWidth="1"/>
    <col min="13" max="13" width="13.5" customWidth="1"/>
    <col min="14" max="26" width="10.83203125" customWidth="1"/>
  </cols>
  <sheetData>
    <row r="1" spans="1:26" ht="15.75" customHeight="1" x14ac:dyDescent="0.2">
      <c r="A1" s="1"/>
      <c r="B1" s="2"/>
      <c r="C1" s="2"/>
      <c r="D1" s="2"/>
      <c r="E1" s="2"/>
      <c r="F1" s="2"/>
      <c r="G1" s="2"/>
      <c r="H1" s="2"/>
      <c r="I1" s="2"/>
      <c r="J1" s="2"/>
      <c r="K1" s="2"/>
      <c r="L1" s="2"/>
      <c r="M1" s="2"/>
      <c r="N1" s="2"/>
      <c r="O1" s="2"/>
      <c r="P1" s="2"/>
      <c r="Q1" s="2"/>
      <c r="R1" s="2"/>
      <c r="S1" s="2"/>
      <c r="T1" s="2"/>
      <c r="U1" s="2"/>
      <c r="V1" s="2"/>
      <c r="W1" s="2"/>
      <c r="X1" s="2"/>
      <c r="Y1" s="2"/>
      <c r="Z1" s="2"/>
    </row>
    <row r="2" spans="1:26" ht="15.75" customHeight="1" x14ac:dyDescent="0.2">
      <c r="A2" s="2"/>
      <c r="B2" s="3"/>
      <c r="C2" s="2"/>
      <c r="D2" s="2"/>
      <c r="E2" s="2"/>
      <c r="F2" s="2"/>
      <c r="G2" s="2"/>
      <c r="H2" s="2"/>
      <c r="I2" s="2"/>
      <c r="J2" s="2"/>
      <c r="K2" s="2"/>
      <c r="L2" s="2"/>
      <c r="M2" s="2"/>
      <c r="N2" s="2"/>
      <c r="O2" s="2"/>
      <c r="P2" s="2"/>
      <c r="Q2" s="2"/>
      <c r="R2" s="2"/>
      <c r="S2" s="2"/>
      <c r="T2" s="2"/>
      <c r="U2" s="2"/>
      <c r="V2" s="2"/>
      <c r="W2" s="2"/>
      <c r="X2" s="2"/>
      <c r="Y2" s="2"/>
      <c r="Z2" s="2"/>
    </row>
    <row r="3" spans="1:26" ht="15.75" customHeight="1" x14ac:dyDescent="0.2">
      <c r="A3" s="2"/>
      <c r="B3" s="4" t="s">
        <v>0</v>
      </c>
      <c r="C3" s="2"/>
      <c r="D3" s="2"/>
      <c r="E3" s="2"/>
      <c r="F3" s="2"/>
      <c r="G3" s="2"/>
      <c r="H3" s="2"/>
      <c r="I3" s="2"/>
      <c r="J3" s="2"/>
      <c r="K3" s="2"/>
      <c r="L3" s="2"/>
      <c r="M3" s="2"/>
      <c r="N3" s="2"/>
      <c r="O3" s="2"/>
      <c r="P3" s="2"/>
      <c r="Q3" s="2"/>
      <c r="R3" s="2"/>
      <c r="S3" s="2"/>
      <c r="T3" s="2"/>
      <c r="U3" s="2"/>
      <c r="V3" s="2"/>
      <c r="W3" s="2"/>
      <c r="X3" s="2"/>
      <c r="Y3" s="2"/>
      <c r="Z3" s="2"/>
    </row>
    <row r="4" spans="1:26" ht="15.75" customHeight="1" x14ac:dyDescent="0.35">
      <c r="A4" s="2"/>
      <c r="B4" s="5" t="s">
        <v>1</v>
      </c>
      <c r="C4" s="2"/>
      <c r="D4" s="2"/>
      <c r="E4" s="2"/>
      <c r="F4" s="2"/>
      <c r="G4" s="2"/>
      <c r="H4" s="2"/>
      <c r="I4" s="2"/>
      <c r="J4" s="2"/>
      <c r="K4" s="2"/>
      <c r="L4" s="2"/>
      <c r="M4" s="2"/>
      <c r="N4" s="2"/>
      <c r="O4" s="2"/>
      <c r="P4" s="2"/>
      <c r="Q4" s="2"/>
      <c r="R4" s="2"/>
      <c r="S4" s="2"/>
      <c r="T4" s="2"/>
      <c r="U4" s="2"/>
      <c r="V4" s="2"/>
      <c r="W4" s="2"/>
      <c r="X4" s="2"/>
      <c r="Y4" s="2"/>
      <c r="Z4" s="2"/>
    </row>
    <row r="5" spans="1:26" ht="15.75" customHeight="1" x14ac:dyDescent="0.2">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2">
      <c r="A6" s="6"/>
      <c r="B6" s="6"/>
      <c r="C6" s="6"/>
      <c r="D6" s="6"/>
      <c r="E6" s="6"/>
      <c r="F6" s="6"/>
      <c r="G6" s="6"/>
      <c r="H6" s="6"/>
      <c r="I6" s="6"/>
      <c r="J6" s="6"/>
      <c r="K6" s="6"/>
      <c r="L6" s="6"/>
      <c r="M6" s="6"/>
      <c r="N6" s="6"/>
      <c r="O6" s="6"/>
      <c r="P6" s="6"/>
      <c r="Q6" s="6"/>
      <c r="R6" s="6"/>
      <c r="S6" s="6"/>
      <c r="T6" s="6"/>
      <c r="U6" s="6"/>
      <c r="V6" s="6"/>
      <c r="W6" s="6"/>
      <c r="X6" s="6"/>
      <c r="Y6" s="6"/>
      <c r="Z6" s="6"/>
    </row>
    <row r="7" spans="1:26" ht="15.75" customHeight="1" x14ac:dyDescent="0.2">
      <c r="A7" s="6"/>
      <c r="B7" s="7" t="s">
        <v>2</v>
      </c>
      <c r="C7" s="8"/>
      <c r="D7" s="9"/>
      <c r="E7" s="9"/>
      <c r="F7" s="9"/>
      <c r="G7" s="9"/>
      <c r="H7" s="9"/>
      <c r="I7" s="9"/>
      <c r="J7" s="6"/>
      <c r="K7" s="6"/>
      <c r="L7" s="6"/>
      <c r="M7" s="6"/>
      <c r="N7" s="6"/>
      <c r="O7" s="6"/>
      <c r="P7" s="6"/>
      <c r="Q7" s="6"/>
      <c r="R7" s="6"/>
      <c r="S7" s="6"/>
      <c r="T7" s="6"/>
      <c r="U7" s="6"/>
      <c r="V7" s="6"/>
      <c r="W7" s="6"/>
      <c r="X7" s="6"/>
      <c r="Y7" s="6"/>
      <c r="Z7" s="6"/>
    </row>
    <row r="8" spans="1:26" ht="15.75" customHeight="1" x14ac:dyDescent="0.2">
      <c r="A8" s="6"/>
      <c r="B8" s="6"/>
      <c r="C8" s="6"/>
      <c r="D8" s="6"/>
      <c r="E8" s="6"/>
      <c r="F8" s="6"/>
      <c r="G8" s="6"/>
      <c r="H8" s="6"/>
      <c r="I8" s="6"/>
      <c r="J8" s="6"/>
      <c r="K8" s="6"/>
      <c r="L8" s="6"/>
      <c r="M8" s="6"/>
      <c r="N8" s="6"/>
      <c r="O8" s="6"/>
      <c r="P8" s="6"/>
      <c r="Q8" s="6"/>
      <c r="R8" s="6"/>
      <c r="S8" s="6"/>
      <c r="T8" s="6"/>
      <c r="U8" s="6"/>
      <c r="V8" s="6"/>
      <c r="W8" s="6"/>
      <c r="X8" s="6"/>
      <c r="Y8" s="6"/>
      <c r="Z8" s="6"/>
    </row>
    <row r="9" spans="1:26" ht="30" customHeight="1" x14ac:dyDescent="0.2">
      <c r="A9" s="6"/>
      <c r="B9" s="10" t="s">
        <v>3</v>
      </c>
      <c r="C9" s="8"/>
      <c r="D9" s="6"/>
      <c r="E9" s="72" t="s">
        <v>4</v>
      </c>
      <c r="F9" s="73"/>
      <c r="G9" s="73"/>
      <c r="H9" s="73"/>
      <c r="I9" s="74"/>
      <c r="J9" s="6"/>
      <c r="K9" s="6"/>
      <c r="M9" s="6"/>
      <c r="N9" s="6"/>
      <c r="O9" s="6"/>
      <c r="P9" s="6"/>
      <c r="Q9" s="6"/>
      <c r="R9" s="6"/>
      <c r="S9" s="6"/>
      <c r="T9" s="6"/>
      <c r="U9" s="6"/>
      <c r="V9" s="6"/>
      <c r="W9" s="6"/>
      <c r="X9" s="6"/>
      <c r="Y9" s="6"/>
      <c r="Z9" s="6"/>
    </row>
    <row r="10" spans="1:26" ht="15.75" customHeight="1" x14ac:dyDescent="0.2">
      <c r="A10" s="6"/>
      <c r="B10" s="6"/>
      <c r="C10" s="6"/>
      <c r="D10" s="6"/>
      <c r="E10" s="11"/>
      <c r="F10" s="11"/>
      <c r="G10" s="11"/>
      <c r="H10" s="11"/>
      <c r="I10" s="11"/>
      <c r="J10" s="6"/>
      <c r="K10" s="6"/>
      <c r="L10" s="6"/>
      <c r="M10" s="6"/>
      <c r="N10" s="6"/>
      <c r="O10" s="6"/>
      <c r="P10" s="6"/>
      <c r="Q10" s="6"/>
      <c r="R10" s="6"/>
      <c r="S10" s="6"/>
      <c r="T10" s="6"/>
      <c r="U10" s="6"/>
      <c r="V10" s="6"/>
      <c r="W10" s="6"/>
      <c r="X10" s="6"/>
      <c r="Y10" s="6"/>
      <c r="Z10" s="6"/>
    </row>
    <row r="11" spans="1:26" ht="21" customHeight="1" x14ac:dyDescent="0.2">
      <c r="A11" s="6"/>
      <c r="B11" s="12" t="s">
        <v>5</v>
      </c>
      <c r="C11" s="13"/>
      <c r="D11" s="6"/>
      <c r="E11" s="75" t="s">
        <v>6</v>
      </c>
      <c r="F11" s="76"/>
      <c r="G11" s="76"/>
      <c r="H11" s="76"/>
      <c r="I11" s="77"/>
      <c r="J11" s="6"/>
      <c r="K11" s="6"/>
      <c r="L11" s="6"/>
      <c r="M11" s="6"/>
      <c r="N11" s="6"/>
      <c r="O11" s="6"/>
      <c r="P11" s="6"/>
      <c r="R11" s="6"/>
      <c r="S11" s="6"/>
      <c r="T11" s="6"/>
      <c r="U11" s="6"/>
      <c r="V11" s="6"/>
      <c r="W11" s="6"/>
      <c r="X11" s="6"/>
      <c r="Y11" s="6"/>
      <c r="Z11" s="6"/>
    </row>
    <row r="12" spans="1:26" ht="21" customHeight="1" x14ac:dyDescent="0.2">
      <c r="A12" s="6"/>
      <c r="B12" s="14" t="s">
        <v>7</v>
      </c>
      <c r="C12" s="15"/>
      <c r="D12" s="6"/>
      <c r="E12" s="78"/>
      <c r="F12" s="79"/>
      <c r="G12" s="79"/>
      <c r="H12" s="79"/>
      <c r="I12" s="80"/>
      <c r="J12" s="6"/>
      <c r="K12" s="6"/>
      <c r="L12" s="6"/>
      <c r="M12" s="6"/>
      <c r="N12" s="6"/>
      <c r="O12" s="6"/>
      <c r="P12" s="6"/>
      <c r="Q12" s="6"/>
      <c r="R12" s="6"/>
      <c r="S12" s="6"/>
      <c r="T12" s="6"/>
      <c r="U12" s="6"/>
      <c r="V12" s="6"/>
      <c r="W12" s="6"/>
      <c r="X12" s="6"/>
      <c r="Y12" s="6"/>
      <c r="Z12" s="6"/>
    </row>
    <row r="13" spans="1:26" ht="21" customHeight="1" x14ac:dyDescent="0.2">
      <c r="A13" s="6"/>
      <c r="B13" s="14" t="s">
        <v>8</v>
      </c>
      <c r="C13" s="15"/>
      <c r="D13" s="6"/>
      <c r="E13" s="78"/>
      <c r="F13" s="79"/>
      <c r="G13" s="79"/>
      <c r="H13" s="79"/>
      <c r="I13" s="80"/>
      <c r="J13" s="6"/>
      <c r="K13" s="6"/>
      <c r="L13" s="6"/>
      <c r="M13" s="6"/>
      <c r="N13" s="6"/>
      <c r="O13" s="6"/>
      <c r="P13" s="6"/>
      <c r="Q13" s="6"/>
      <c r="R13" s="6"/>
      <c r="S13" s="6"/>
      <c r="T13" s="6"/>
      <c r="U13" s="6"/>
      <c r="V13" s="6"/>
      <c r="W13" s="6"/>
      <c r="X13" s="6"/>
      <c r="Y13" s="6"/>
      <c r="Z13" s="6"/>
    </row>
    <row r="14" spans="1:26" ht="21" customHeight="1" x14ac:dyDescent="0.2">
      <c r="A14" s="6"/>
      <c r="B14" s="14" t="s">
        <v>9</v>
      </c>
      <c r="C14" s="15"/>
      <c r="D14" s="6"/>
      <c r="E14" s="78"/>
      <c r="F14" s="79"/>
      <c r="G14" s="79"/>
      <c r="H14" s="79"/>
      <c r="I14" s="80"/>
      <c r="J14" s="6"/>
      <c r="K14" s="6"/>
      <c r="L14" s="6"/>
      <c r="M14" s="6"/>
      <c r="N14" s="6"/>
      <c r="O14" s="6"/>
      <c r="P14" s="6"/>
      <c r="Q14" s="6"/>
      <c r="R14" s="6"/>
      <c r="S14" s="6"/>
      <c r="T14" s="6"/>
      <c r="U14" s="6"/>
      <c r="V14" s="6"/>
      <c r="W14" s="6"/>
      <c r="X14" s="6"/>
      <c r="Y14" s="6"/>
      <c r="Z14" s="6"/>
    </row>
    <row r="15" spans="1:26" ht="21" customHeight="1" x14ac:dyDescent="0.2">
      <c r="A15" s="6"/>
      <c r="B15" s="16" t="s">
        <v>10</v>
      </c>
      <c r="C15" s="17"/>
      <c r="D15" s="6"/>
      <c r="E15" s="81"/>
      <c r="F15" s="82"/>
      <c r="G15" s="82"/>
      <c r="H15" s="82"/>
      <c r="I15" s="83"/>
      <c r="J15" s="6"/>
      <c r="K15" s="6"/>
      <c r="L15" s="6"/>
      <c r="M15" s="6"/>
      <c r="N15" s="6"/>
      <c r="O15" s="6"/>
      <c r="P15" s="6"/>
      <c r="Q15" s="6"/>
      <c r="R15" s="6"/>
      <c r="S15" s="6"/>
      <c r="T15" s="6"/>
      <c r="U15" s="6"/>
      <c r="V15" s="6"/>
      <c r="W15" s="6"/>
      <c r="X15" s="6"/>
      <c r="Y15" s="6"/>
      <c r="Z15" s="6"/>
    </row>
    <row r="16" spans="1:26" ht="15.75" customHeight="1" x14ac:dyDescent="0.2">
      <c r="A16" s="6"/>
      <c r="B16" s="18"/>
      <c r="C16" s="6"/>
      <c r="D16" s="6"/>
      <c r="E16" s="6"/>
      <c r="F16" s="6"/>
      <c r="G16" s="6"/>
      <c r="H16" s="6"/>
      <c r="I16" s="6"/>
      <c r="J16" s="6"/>
      <c r="K16" s="6"/>
      <c r="L16" s="6"/>
      <c r="M16" s="6"/>
      <c r="N16" s="6"/>
      <c r="O16" s="6"/>
      <c r="P16" s="6"/>
      <c r="Q16" s="6"/>
      <c r="R16" s="6"/>
      <c r="S16" s="6"/>
      <c r="T16" s="6"/>
      <c r="U16" s="6"/>
      <c r="V16" s="6"/>
      <c r="W16" s="6"/>
      <c r="X16" s="6"/>
      <c r="Y16" s="6"/>
      <c r="Z16" s="6"/>
    </row>
    <row r="17" spans="1:26" ht="19.5" customHeight="1" x14ac:dyDescent="0.2">
      <c r="A17" s="6"/>
      <c r="B17" s="84" t="s">
        <v>11</v>
      </c>
      <c r="C17" s="85"/>
      <c r="D17" s="19" t="s">
        <v>12</v>
      </c>
      <c r="E17" s="86" t="s">
        <v>13</v>
      </c>
      <c r="F17" s="76"/>
      <c r="G17" s="76"/>
      <c r="H17" s="76"/>
      <c r="I17" s="77"/>
      <c r="J17" s="6"/>
      <c r="K17" s="6"/>
      <c r="L17" s="6"/>
      <c r="M17" s="6"/>
      <c r="N17" s="6"/>
      <c r="O17" s="6"/>
      <c r="P17" s="6"/>
      <c r="Q17" s="6"/>
      <c r="R17" s="6"/>
      <c r="S17" s="6"/>
      <c r="T17" s="6"/>
      <c r="U17" s="6"/>
      <c r="V17" s="6"/>
      <c r="W17" s="6"/>
      <c r="X17" s="6"/>
      <c r="Y17" s="6"/>
      <c r="Z17" s="6"/>
    </row>
    <row r="18" spans="1:26" ht="18.75" customHeight="1" x14ac:dyDescent="0.25">
      <c r="A18" s="6"/>
      <c r="B18" s="20" t="s">
        <v>14</v>
      </c>
      <c r="C18" s="21" t="s">
        <v>15</v>
      </c>
      <c r="D18" s="19" t="s">
        <v>12</v>
      </c>
      <c r="E18" s="78"/>
      <c r="F18" s="79"/>
      <c r="G18" s="79"/>
      <c r="H18" s="79"/>
      <c r="I18" s="80"/>
      <c r="J18" s="6"/>
      <c r="K18" s="6"/>
      <c r="L18" s="6"/>
      <c r="M18" s="6"/>
      <c r="N18" s="6"/>
      <c r="O18" s="6"/>
      <c r="P18" s="6"/>
      <c r="Q18" s="6"/>
      <c r="R18" s="6"/>
      <c r="S18" s="6"/>
      <c r="T18" s="6"/>
      <c r="U18" s="6"/>
      <c r="V18" s="6"/>
      <c r="W18" s="6"/>
      <c r="X18" s="6"/>
      <c r="Y18" s="6"/>
      <c r="Z18" s="6"/>
    </row>
    <row r="19" spans="1:26" ht="15.75" customHeight="1" x14ac:dyDescent="0.2">
      <c r="A19" s="6"/>
      <c r="B19" s="22" t="s">
        <v>16</v>
      </c>
      <c r="C19" s="23"/>
      <c r="D19" s="19" t="s">
        <v>12</v>
      </c>
      <c r="E19" s="78"/>
      <c r="F19" s="79"/>
      <c r="G19" s="79"/>
      <c r="H19" s="79"/>
      <c r="I19" s="80"/>
      <c r="J19" s="6"/>
      <c r="K19" s="6"/>
      <c r="L19" s="6"/>
      <c r="M19" s="6"/>
      <c r="N19" s="6"/>
      <c r="O19" s="6"/>
      <c r="P19" s="6"/>
      <c r="Q19" s="6"/>
      <c r="R19" s="6"/>
      <c r="S19" s="6"/>
      <c r="T19" s="6"/>
      <c r="U19" s="6"/>
      <c r="V19" s="6"/>
      <c r="W19" s="6"/>
      <c r="X19" s="6"/>
      <c r="Y19" s="6"/>
      <c r="Z19" s="6"/>
    </row>
    <row r="20" spans="1:26" ht="16.5" customHeight="1" x14ac:dyDescent="0.2">
      <c r="A20" s="6"/>
      <c r="B20" s="22" t="s">
        <v>17</v>
      </c>
      <c r="C20" s="23" t="s">
        <v>18</v>
      </c>
      <c r="D20" s="19" t="s">
        <v>12</v>
      </c>
      <c r="E20" s="81"/>
      <c r="F20" s="82"/>
      <c r="G20" s="82"/>
      <c r="H20" s="82"/>
      <c r="I20" s="83"/>
      <c r="J20" s="6"/>
      <c r="K20" s="6"/>
      <c r="L20" s="6"/>
      <c r="M20" s="6"/>
      <c r="N20" s="6"/>
      <c r="O20" s="6"/>
      <c r="P20" s="6"/>
      <c r="Q20" s="6"/>
      <c r="R20" s="6"/>
      <c r="S20" s="6"/>
      <c r="T20" s="6"/>
      <c r="U20" s="6"/>
      <c r="V20" s="6"/>
      <c r="W20" s="6"/>
      <c r="X20" s="6"/>
      <c r="Y20" s="6"/>
      <c r="Z20" s="6"/>
    </row>
    <row r="21" spans="1:26" ht="15.75" customHeight="1" x14ac:dyDescent="0.2">
      <c r="A21" s="6"/>
      <c r="B21" s="24" t="s">
        <v>19</v>
      </c>
      <c r="C21" s="25" t="s">
        <v>20</v>
      </c>
      <c r="D21" s="19" t="s">
        <v>12</v>
      </c>
      <c r="E21" s="6"/>
      <c r="F21" s="6"/>
      <c r="G21" s="6"/>
      <c r="H21" s="6"/>
      <c r="I21" s="6"/>
      <c r="J21" s="6"/>
      <c r="K21" s="6"/>
      <c r="L21" s="6"/>
      <c r="M21" s="6"/>
      <c r="N21" s="6"/>
      <c r="O21" s="6"/>
      <c r="P21" s="6"/>
      <c r="Q21" s="6"/>
      <c r="R21" s="6"/>
      <c r="S21" s="6"/>
      <c r="T21" s="6"/>
      <c r="U21" s="6"/>
      <c r="V21" s="6"/>
      <c r="W21" s="6"/>
      <c r="X21" s="6"/>
      <c r="Y21" s="6"/>
      <c r="Z21" s="6"/>
    </row>
    <row r="22" spans="1:26" ht="15.75" customHeight="1" x14ac:dyDescent="0.2">
      <c r="A22" s="6"/>
      <c r="B22" s="24" t="s">
        <v>21</v>
      </c>
      <c r="C22" s="25" t="s">
        <v>22</v>
      </c>
      <c r="D22" s="19" t="s">
        <v>12</v>
      </c>
      <c r="E22" s="6"/>
      <c r="F22" s="6"/>
      <c r="G22" s="19" t="s">
        <v>12</v>
      </c>
      <c r="H22" s="6"/>
      <c r="I22" s="6"/>
      <c r="J22" s="6"/>
      <c r="K22" s="6"/>
      <c r="L22" s="6"/>
      <c r="M22" s="6"/>
      <c r="N22" s="6"/>
      <c r="O22" s="6"/>
      <c r="P22" s="6"/>
      <c r="Q22" s="6"/>
      <c r="R22" s="6"/>
      <c r="S22" s="6"/>
      <c r="T22" s="6"/>
      <c r="U22" s="6"/>
      <c r="V22" s="6"/>
      <c r="W22" s="6"/>
      <c r="X22" s="6"/>
      <c r="Y22" s="6"/>
      <c r="Z22" s="6"/>
    </row>
    <row r="23" spans="1:26" ht="15.75" customHeight="1" x14ac:dyDescent="0.2">
      <c r="A23" s="6"/>
      <c r="B23" s="24" t="s">
        <v>23</v>
      </c>
      <c r="C23" s="25" t="s">
        <v>24</v>
      </c>
      <c r="D23" s="19" t="s">
        <v>12</v>
      </c>
      <c r="E23" s="87" t="s">
        <v>25</v>
      </c>
      <c r="F23" s="85"/>
      <c r="G23" s="19" t="s">
        <v>12</v>
      </c>
      <c r="H23" s="84" t="s">
        <v>26</v>
      </c>
      <c r="I23" s="85"/>
      <c r="J23" s="6"/>
      <c r="K23" s="6"/>
      <c r="L23" s="6"/>
      <c r="M23" s="6"/>
      <c r="N23" s="6"/>
      <c r="O23" s="6"/>
      <c r="P23" s="6"/>
      <c r="Q23" s="6"/>
      <c r="R23" s="6"/>
      <c r="S23" s="6"/>
      <c r="T23" s="6"/>
      <c r="U23" s="6"/>
      <c r="V23" s="6"/>
      <c r="W23" s="6"/>
      <c r="X23" s="6"/>
      <c r="Y23" s="6"/>
      <c r="Z23" s="6"/>
    </row>
    <row r="24" spans="1:26" ht="15.75" customHeight="1" x14ac:dyDescent="0.25">
      <c r="A24" s="6"/>
      <c r="B24" s="22" t="s">
        <v>27</v>
      </c>
      <c r="C24" s="23" t="s">
        <v>28</v>
      </c>
      <c r="D24" s="19" t="s">
        <v>12</v>
      </c>
      <c r="E24" s="20" t="s">
        <v>14</v>
      </c>
      <c r="F24" s="21" t="s">
        <v>15</v>
      </c>
      <c r="G24" s="19" t="s">
        <v>12</v>
      </c>
      <c r="H24" s="20" t="s">
        <v>14</v>
      </c>
      <c r="I24" s="21" t="s">
        <v>15</v>
      </c>
      <c r="J24" s="6"/>
      <c r="K24" s="6"/>
      <c r="L24" s="6"/>
      <c r="M24" s="6"/>
      <c r="N24" s="6"/>
      <c r="O24" s="6"/>
      <c r="P24" s="6"/>
      <c r="Q24" s="6"/>
      <c r="R24" s="6"/>
      <c r="S24" s="6"/>
      <c r="T24" s="6"/>
      <c r="U24" s="6"/>
      <c r="V24" s="6"/>
      <c r="W24" s="6"/>
      <c r="X24" s="6"/>
      <c r="Y24" s="6"/>
      <c r="Z24" s="6"/>
    </row>
    <row r="25" spans="1:26" ht="15.75" customHeight="1" x14ac:dyDescent="0.2">
      <c r="A25" s="6"/>
      <c r="B25" s="22" t="s">
        <v>29</v>
      </c>
      <c r="C25" s="23" t="s">
        <v>30</v>
      </c>
      <c r="D25" s="19" t="s">
        <v>12</v>
      </c>
      <c r="E25" s="26" t="s">
        <v>31</v>
      </c>
      <c r="F25" s="23" t="s">
        <v>32</v>
      </c>
      <c r="G25" s="19" t="s">
        <v>12</v>
      </c>
      <c r="H25" s="27" t="s">
        <v>33</v>
      </c>
      <c r="I25" s="28" t="s">
        <v>34</v>
      </c>
      <c r="J25" s="6"/>
      <c r="K25" s="6"/>
      <c r="L25" s="6"/>
      <c r="M25" s="6"/>
      <c r="N25" s="6"/>
      <c r="O25" s="6"/>
      <c r="P25" s="6"/>
      <c r="Q25" s="6"/>
      <c r="R25" s="6"/>
      <c r="S25" s="6"/>
      <c r="T25" s="6"/>
      <c r="U25" s="6"/>
      <c r="V25" s="6"/>
      <c r="W25" s="6"/>
      <c r="X25" s="6"/>
      <c r="Y25" s="6"/>
      <c r="Z25" s="6"/>
    </row>
    <row r="26" spans="1:26" ht="15.75" customHeight="1" x14ac:dyDescent="0.2">
      <c r="A26" s="6"/>
      <c r="B26" s="22" t="s">
        <v>35</v>
      </c>
      <c r="C26" s="23" t="s">
        <v>36</v>
      </c>
      <c r="D26" s="19" t="s">
        <v>12</v>
      </c>
      <c r="E26" s="26" t="s">
        <v>37</v>
      </c>
      <c r="F26" s="23" t="s">
        <v>38</v>
      </c>
      <c r="G26" s="19" t="s">
        <v>12</v>
      </c>
      <c r="H26" s="27" t="s">
        <v>39</v>
      </c>
      <c r="I26" s="28" t="s">
        <v>40</v>
      </c>
      <c r="J26" s="6"/>
      <c r="K26" s="6"/>
      <c r="L26" s="6"/>
      <c r="M26" s="6"/>
      <c r="N26" s="6"/>
      <c r="O26" s="6"/>
      <c r="P26" s="6"/>
      <c r="Q26" s="6"/>
      <c r="R26" s="6"/>
      <c r="S26" s="6"/>
      <c r="T26" s="6"/>
      <c r="U26" s="6"/>
      <c r="V26" s="6"/>
      <c r="W26" s="6"/>
      <c r="X26" s="6"/>
      <c r="Y26" s="6"/>
      <c r="Z26" s="6"/>
    </row>
    <row r="27" spans="1:26" ht="15.75" customHeight="1" x14ac:dyDescent="0.2">
      <c r="A27" s="6"/>
      <c r="B27" s="29" t="s">
        <v>41</v>
      </c>
      <c r="C27" s="23"/>
      <c r="D27" s="19" t="s">
        <v>12</v>
      </c>
      <c r="E27" s="26" t="s">
        <v>42</v>
      </c>
      <c r="F27" s="23"/>
      <c r="G27" s="19" t="s">
        <v>12</v>
      </c>
      <c r="H27" s="27" t="s">
        <v>43</v>
      </c>
      <c r="I27" s="28" t="s">
        <v>44</v>
      </c>
      <c r="J27" s="6"/>
      <c r="K27" s="6"/>
      <c r="L27" s="6"/>
      <c r="M27" s="6"/>
      <c r="N27" s="6"/>
      <c r="O27" s="6"/>
      <c r="P27" s="6"/>
      <c r="Q27" s="6"/>
      <c r="R27" s="6"/>
      <c r="S27" s="6"/>
      <c r="T27" s="6"/>
      <c r="U27" s="6"/>
      <c r="V27" s="6"/>
      <c r="W27" s="6"/>
      <c r="X27" s="6"/>
      <c r="Y27" s="6"/>
      <c r="Z27" s="6"/>
    </row>
    <row r="28" spans="1:26" ht="15.75" customHeight="1" x14ac:dyDescent="0.2">
      <c r="A28" s="6"/>
      <c r="B28" s="22" t="s">
        <v>45</v>
      </c>
      <c r="C28" s="30"/>
      <c r="D28" s="19" t="s">
        <v>12</v>
      </c>
      <c r="E28" s="26" t="s">
        <v>46</v>
      </c>
      <c r="F28" s="23"/>
      <c r="G28" s="19" t="s">
        <v>12</v>
      </c>
      <c r="H28" s="27" t="s">
        <v>47</v>
      </c>
      <c r="I28" s="28" t="s">
        <v>48</v>
      </c>
      <c r="J28" s="6"/>
      <c r="K28" s="6"/>
      <c r="L28" s="6"/>
      <c r="M28" s="6"/>
      <c r="N28" s="6"/>
      <c r="O28" s="6"/>
      <c r="P28" s="6"/>
      <c r="Q28" s="6"/>
      <c r="R28" s="6"/>
      <c r="S28" s="6"/>
      <c r="T28" s="6"/>
      <c r="U28" s="6"/>
      <c r="V28" s="6"/>
      <c r="W28" s="6"/>
      <c r="X28" s="6"/>
      <c r="Y28" s="6"/>
      <c r="Z28" s="6"/>
    </row>
    <row r="29" spans="1:26" ht="15.75" customHeight="1" x14ac:dyDescent="0.2">
      <c r="A29" s="6"/>
      <c r="B29" s="22" t="s">
        <v>49</v>
      </c>
      <c r="C29" s="30"/>
      <c r="D29" s="19" t="s">
        <v>12</v>
      </c>
      <c r="E29" s="26" t="s">
        <v>50</v>
      </c>
      <c r="F29" s="23"/>
      <c r="G29" s="19" t="s">
        <v>12</v>
      </c>
      <c r="H29" s="27" t="s">
        <v>51</v>
      </c>
      <c r="I29" s="28" t="s">
        <v>52</v>
      </c>
      <c r="J29" s="6"/>
      <c r="K29" s="6"/>
      <c r="L29" s="6"/>
      <c r="M29" s="6"/>
      <c r="N29" s="6"/>
      <c r="O29" s="6"/>
      <c r="P29" s="6"/>
      <c r="Q29" s="6"/>
      <c r="R29" s="6"/>
      <c r="S29" s="6"/>
      <c r="T29" s="6"/>
      <c r="U29" s="6"/>
      <c r="V29" s="6"/>
      <c r="W29" s="6"/>
      <c r="X29" s="6"/>
      <c r="Y29" s="6"/>
      <c r="Z29" s="6"/>
    </row>
    <row r="30" spans="1:26" ht="15.75" customHeight="1" x14ac:dyDescent="0.2">
      <c r="A30" s="6"/>
      <c r="B30" s="29" t="s">
        <v>53</v>
      </c>
      <c r="C30" s="23"/>
      <c r="D30" s="19" t="s">
        <v>12</v>
      </c>
      <c r="E30" s="26" t="s">
        <v>54</v>
      </c>
      <c r="F30" s="23"/>
      <c r="G30" s="19" t="s">
        <v>12</v>
      </c>
      <c r="H30" s="27" t="s">
        <v>55</v>
      </c>
      <c r="I30" s="28" t="s">
        <v>56</v>
      </c>
      <c r="J30" s="6"/>
      <c r="K30" s="6"/>
      <c r="L30" s="6"/>
      <c r="M30" s="6"/>
      <c r="N30" s="6"/>
      <c r="O30" s="6"/>
      <c r="P30" s="6"/>
      <c r="Q30" s="6"/>
      <c r="R30" s="6"/>
      <c r="S30" s="6"/>
      <c r="T30" s="6"/>
      <c r="U30" s="6"/>
      <c r="V30" s="6"/>
      <c r="W30" s="6"/>
      <c r="X30" s="6"/>
      <c r="Y30" s="6"/>
      <c r="Z30" s="6"/>
    </row>
    <row r="31" spans="1:26" ht="15.75" customHeight="1" x14ac:dyDescent="0.2">
      <c r="A31" s="6"/>
      <c r="B31" s="22" t="s">
        <v>57</v>
      </c>
      <c r="C31" s="23"/>
      <c r="D31" s="19" t="s">
        <v>12</v>
      </c>
      <c r="E31" s="31"/>
      <c r="F31" s="32"/>
      <c r="G31" s="19" t="s">
        <v>12</v>
      </c>
      <c r="H31" s="33"/>
      <c r="I31" s="34"/>
      <c r="J31" s="6"/>
      <c r="K31" s="6"/>
      <c r="L31" s="6"/>
      <c r="M31" s="6"/>
      <c r="N31" s="6"/>
      <c r="O31" s="6"/>
      <c r="P31" s="6"/>
      <c r="Q31" s="6"/>
      <c r="R31" s="6"/>
      <c r="S31" s="6"/>
      <c r="T31" s="6"/>
      <c r="U31" s="6"/>
      <c r="V31" s="6"/>
      <c r="W31" s="6"/>
      <c r="X31" s="6"/>
      <c r="Y31" s="6"/>
      <c r="Z31" s="6"/>
    </row>
    <row r="32" spans="1:26" ht="16.5" customHeight="1" x14ac:dyDescent="0.2">
      <c r="A32" s="6"/>
      <c r="B32" s="24" t="s">
        <v>58</v>
      </c>
      <c r="C32" s="35" t="s">
        <v>59</v>
      </c>
      <c r="D32" s="19" t="s">
        <v>12</v>
      </c>
      <c r="E32" s="6"/>
      <c r="F32" s="6"/>
      <c r="G32" s="19" t="s">
        <v>12</v>
      </c>
      <c r="H32" s="6"/>
      <c r="I32" s="6"/>
      <c r="J32" s="6"/>
      <c r="K32" s="6"/>
      <c r="L32" s="36"/>
      <c r="M32" s="36"/>
      <c r="N32" s="6"/>
      <c r="P32" s="6"/>
      <c r="Q32" s="6"/>
      <c r="R32" s="6"/>
      <c r="S32" s="6"/>
      <c r="T32" s="6"/>
      <c r="U32" s="6"/>
      <c r="V32" s="6"/>
      <c r="W32" s="6"/>
      <c r="X32" s="6"/>
      <c r="Y32" s="6"/>
      <c r="Z32" s="6"/>
    </row>
    <row r="33" spans="1:26" ht="16.5" customHeight="1" x14ac:dyDescent="0.2">
      <c r="A33" s="6"/>
      <c r="B33" s="24" t="s">
        <v>60</v>
      </c>
      <c r="C33" s="35" t="s">
        <v>61</v>
      </c>
      <c r="D33" s="19" t="s">
        <v>12</v>
      </c>
      <c r="E33" s="84" t="s">
        <v>62</v>
      </c>
      <c r="F33" s="85"/>
      <c r="G33" s="19" t="s">
        <v>12</v>
      </c>
      <c r="H33" s="37" t="s">
        <v>63</v>
      </c>
      <c r="I33" s="38">
        <v>45658</v>
      </c>
      <c r="J33" s="6"/>
      <c r="K33" s="39"/>
      <c r="L33" s="6"/>
      <c r="M33" s="6"/>
      <c r="N33" s="6"/>
      <c r="O33" s="6"/>
      <c r="P33" s="6"/>
      <c r="Q33" s="6"/>
      <c r="R33" s="6"/>
      <c r="S33" s="6"/>
      <c r="T33" s="6"/>
      <c r="U33" s="6"/>
      <c r="V33" s="6"/>
      <c r="W33" s="6"/>
      <c r="X33" s="6"/>
      <c r="Y33" s="6"/>
      <c r="Z33" s="6"/>
    </row>
    <row r="34" spans="1:26" ht="16.5" customHeight="1" x14ac:dyDescent="0.25">
      <c r="A34" s="6"/>
      <c r="B34" s="24" t="s">
        <v>64</v>
      </c>
      <c r="C34" s="35" t="s">
        <v>65</v>
      </c>
      <c r="D34" s="19" t="s">
        <v>12</v>
      </c>
      <c r="E34" s="20" t="s">
        <v>14</v>
      </c>
      <c r="F34" s="21" t="s">
        <v>15</v>
      </c>
      <c r="G34" s="19" t="s">
        <v>12</v>
      </c>
      <c r="H34" s="40" t="s">
        <v>66</v>
      </c>
      <c r="I34" s="41">
        <v>62094</v>
      </c>
      <c r="J34" s="6"/>
      <c r="K34" s="6"/>
      <c r="L34" s="6"/>
      <c r="M34" s="6"/>
      <c r="N34" s="6"/>
      <c r="O34" s="6"/>
      <c r="P34" s="6"/>
      <c r="Q34" s="6"/>
      <c r="R34" s="6"/>
      <c r="S34" s="6"/>
      <c r="T34" s="6"/>
      <c r="U34" s="6"/>
      <c r="V34" s="6"/>
      <c r="W34" s="6"/>
      <c r="X34" s="6"/>
      <c r="Y34" s="6"/>
      <c r="Z34" s="6"/>
    </row>
    <row r="35" spans="1:26" ht="16.5" customHeight="1" x14ac:dyDescent="0.2">
      <c r="A35" s="6"/>
      <c r="B35" s="42" t="s">
        <v>67</v>
      </c>
      <c r="C35" s="23" t="s">
        <v>68</v>
      </c>
      <c r="D35" s="19" t="s">
        <v>12</v>
      </c>
      <c r="E35" s="26" t="s">
        <v>69</v>
      </c>
      <c r="F35" s="23" t="s">
        <v>70</v>
      </c>
      <c r="G35" s="19" t="s">
        <v>12</v>
      </c>
      <c r="H35" s="6"/>
      <c r="I35" s="6"/>
      <c r="J35" s="6"/>
      <c r="K35" s="6"/>
      <c r="L35" s="6"/>
      <c r="M35" s="6"/>
      <c r="N35" s="6"/>
      <c r="O35" s="6"/>
      <c r="P35" s="6"/>
      <c r="Q35" s="6"/>
      <c r="R35" s="6"/>
      <c r="S35" s="6"/>
      <c r="T35" s="6"/>
      <c r="U35" s="6"/>
      <c r="V35" s="6"/>
      <c r="W35" s="6"/>
      <c r="X35" s="6"/>
      <c r="Y35" s="6"/>
      <c r="Z35" s="6"/>
    </row>
    <row r="36" spans="1:26" ht="16.5" customHeight="1" x14ac:dyDescent="0.2">
      <c r="A36" s="6"/>
      <c r="B36" s="22" t="s">
        <v>71</v>
      </c>
      <c r="C36" s="23"/>
      <c r="D36" s="19" t="s">
        <v>12</v>
      </c>
      <c r="E36" s="26" t="s">
        <v>72</v>
      </c>
      <c r="F36" s="23" t="s">
        <v>73</v>
      </c>
      <c r="G36" s="19" t="s">
        <v>12</v>
      </c>
      <c r="H36" s="6"/>
      <c r="I36" s="6"/>
      <c r="J36" s="6"/>
      <c r="K36" s="6"/>
      <c r="L36" s="6"/>
      <c r="M36" s="6"/>
      <c r="N36" s="6"/>
      <c r="O36" s="6"/>
      <c r="P36" s="6"/>
      <c r="Q36" s="6"/>
      <c r="R36" s="6"/>
      <c r="S36" s="6"/>
      <c r="T36" s="6"/>
      <c r="U36" s="6"/>
      <c r="V36" s="6"/>
      <c r="W36" s="6"/>
      <c r="X36" s="6"/>
      <c r="Y36" s="6"/>
      <c r="Z36" s="6"/>
    </row>
    <row r="37" spans="1:26" ht="16.5" customHeight="1" x14ac:dyDescent="0.2">
      <c r="A37" s="6"/>
      <c r="B37" s="22" t="s">
        <v>74</v>
      </c>
      <c r="C37" s="23"/>
      <c r="D37" s="19" t="s">
        <v>12</v>
      </c>
      <c r="E37" s="26" t="s">
        <v>75</v>
      </c>
      <c r="F37" s="23" t="s">
        <v>76</v>
      </c>
      <c r="G37" s="19" t="s">
        <v>12</v>
      </c>
      <c r="H37" s="6"/>
      <c r="I37" s="6"/>
      <c r="J37" s="6"/>
      <c r="K37" s="6"/>
      <c r="L37" s="6"/>
      <c r="M37" s="6"/>
      <c r="N37" s="6"/>
      <c r="O37" s="6"/>
      <c r="P37" s="6"/>
      <c r="Q37" s="6"/>
      <c r="R37" s="6"/>
      <c r="S37" s="6"/>
      <c r="T37" s="6"/>
      <c r="U37" s="6"/>
      <c r="V37" s="6"/>
      <c r="W37" s="6"/>
      <c r="X37" s="6"/>
      <c r="Y37" s="6"/>
      <c r="Z37" s="6"/>
    </row>
    <row r="38" spans="1:26" ht="15.75" customHeight="1" x14ac:dyDescent="0.2">
      <c r="A38" s="6"/>
      <c r="B38" s="22" t="s">
        <v>77</v>
      </c>
      <c r="C38" s="23"/>
      <c r="D38" s="19" t="s">
        <v>12</v>
      </c>
      <c r="E38" s="26"/>
      <c r="F38" s="23"/>
      <c r="G38" s="19" t="s">
        <v>12</v>
      </c>
      <c r="H38" s="6"/>
      <c r="I38" s="6"/>
      <c r="J38" s="6"/>
      <c r="K38" s="6"/>
      <c r="L38" s="6"/>
      <c r="M38" s="6"/>
      <c r="N38" s="6"/>
      <c r="O38" s="6"/>
      <c r="P38" s="6"/>
      <c r="Q38" s="6"/>
      <c r="R38" s="6"/>
      <c r="S38" s="6"/>
      <c r="T38" s="6"/>
      <c r="U38" s="6"/>
      <c r="V38" s="6"/>
      <c r="W38" s="6"/>
      <c r="X38" s="6"/>
      <c r="Y38" s="6"/>
      <c r="Z38" s="6"/>
    </row>
    <row r="39" spans="1:26" ht="15.75" customHeight="1" x14ac:dyDescent="0.2">
      <c r="A39" s="6"/>
      <c r="B39" s="22" t="s">
        <v>78</v>
      </c>
      <c r="C39" s="23"/>
      <c r="D39" s="19" t="s">
        <v>12</v>
      </c>
      <c r="E39" s="31"/>
      <c r="F39" s="32"/>
      <c r="G39" s="19" t="s">
        <v>12</v>
      </c>
      <c r="H39" s="6"/>
      <c r="I39" s="6"/>
      <c r="J39" s="6"/>
      <c r="K39" s="6"/>
      <c r="L39" s="6"/>
      <c r="M39" s="6"/>
      <c r="N39" s="6"/>
      <c r="O39" s="6"/>
      <c r="P39" s="6"/>
      <c r="Q39" s="6"/>
      <c r="R39" s="6"/>
      <c r="S39" s="6"/>
      <c r="T39" s="6"/>
      <c r="U39" s="6"/>
      <c r="V39" s="6"/>
      <c r="W39" s="6"/>
      <c r="X39" s="6"/>
      <c r="Y39" s="6"/>
      <c r="Z39" s="6"/>
    </row>
    <row r="40" spans="1:26" ht="15.75" customHeight="1" x14ac:dyDescent="0.2">
      <c r="A40" s="6"/>
      <c r="B40" s="22" t="s">
        <v>79</v>
      </c>
      <c r="C40" s="23"/>
      <c r="D40" s="19" t="s">
        <v>12</v>
      </c>
      <c r="E40" s="6"/>
      <c r="F40" s="6"/>
      <c r="G40" s="19" t="s">
        <v>12</v>
      </c>
      <c r="H40" s="6"/>
      <c r="I40" s="6"/>
      <c r="J40" s="6"/>
      <c r="K40" s="6"/>
      <c r="L40" s="6"/>
      <c r="M40" s="6"/>
      <c r="N40" s="6"/>
      <c r="O40" s="6"/>
      <c r="P40" s="6"/>
      <c r="Q40" s="6"/>
      <c r="R40" s="6"/>
      <c r="S40" s="6"/>
      <c r="T40" s="6"/>
      <c r="U40" s="6"/>
      <c r="V40" s="6"/>
      <c r="W40" s="6"/>
      <c r="X40" s="6"/>
      <c r="Y40" s="6"/>
      <c r="Z40" s="6"/>
    </row>
    <row r="41" spans="1:26" ht="15.75" customHeight="1" x14ac:dyDescent="0.2">
      <c r="A41" s="6"/>
      <c r="B41" s="22" t="s">
        <v>63</v>
      </c>
      <c r="C41" s="23"/>
      <c r="D41" s="19" t="s">
        <v>12</v>
      </c>
      <c r="E41" s="6"/>
      <c r="F41" s="6"/>
      <c r="G41" s="19"/>
      <c r="H41" s="6"/>
      <c r="I41" s="6"/>
      <c r="J41" s="6"/>
      <c r="K41" s="6"/>
      <c r="L41" s="6"/>
      <c r="M41" s="6"/>
      <c r="N41" s="6"/>
      <c r="O41" s="6"/>
      <c r="P41" s="6"/>
      <c r="Q41" s="6"/>
      <c r="R41" s="6"/>
      <c r="S41" s="6"/>
      <c r="T41" s="6"/>
      <c r="U41" s="6"/>
      <c r="V41" s="6"/>
      <c r="W41" s="6"/>
      <c r="X41" s="6"/>
      <c r="Y41" s="6"/>
      <c r="Z41" s="6"/>
    </row>
    <row r="42" spans="1:26" ht="15.75" customHeight="1" x14ac:dyDescent="0.2">
      <c r="A42" s="6"/>
      <c r="B42" s="24" t="s">
        <v>80</v>
      </c>
      <c r="C42" s="35" t="s">
        <v>80</v>
      </c>
      <c r="D42" s="19" t="s">
        <v>12</v>
      </c>
      <c r="E42" s="6"/>
      <c r="F42" s="6"/>
      <c r="G42" s="6"/>
      <c r="H42" s="6"/>
      <c r="I42" s="6"/>
      <c r="J42" s="6"/>
      <c r="K42" s="6"/>
      <c r="L42" s="6"/>
      <c r="M42" s="6"/>
      <c r="N42" s="6"/>
      <c r="O42" s="6"/>
      <c r="P42" s="6"/>
      <c r="Q42" s="6"/>
      <c r="R42" s="6"/>
      <c r="S42" s="6"/>
      <c r="T42" s="6"/>
      <c r="U42" s="6"/>
      <c r="V42" s="6"/>
      <c r="W42" s="6"/>
      <c r="X42" s="6"/>
      <c r="Y42" s="6"/>
      <c r="Z42" s="6"/>
    </row>
    <row r="43" spans="1:26" ht="15.75" customHeight="1" x14ac:dyDescent="0.2">
      <c r="A43" s="6"/>
      <c r="B43" s="22" t="s">
        <v>81</v>
      </c>
      <c r="C43" s="23"/>
      <c r="D43" s="19" t="s">
        <v>12</v>
      </c>
      <c r="E43" s="6"/>
      <c r="F43" s="6"/>
      <c r="G43" s="6"/>
      <c r="H43" s="6"/>
      <c r="I43" s="6"/>
      <c r="J43" s="6"/>
      <c r="K43" s="6"/>
      <c r="L43" s="6"/>
      <c r="M43" s="6"/>
      <c r="N43" s="6"/>
      <c r="O43" s="6"/>
      <c r="P43" s="6"/>
      <c r="Q43" s="6"/>
      <c r="R43" s="6"/>
      <c r="S43" s="6"/>
      <c r="T43" s="6"/>
      <c r="U43" s="6"/>
      <c r="V43" s="6"/>
      <c r="W43" s="6"/>
      <c r="X43" s="6"/>
      <c r="Y43" s="6"/>
      <c r="Z43" s="6"/>
    </row>
    <row r="44" spans="1:26" ht="15.75" customHeight="1" x14ac:dyDescent="0.2">
      <c r="A44" s="6"/>
      <c r="B44" s="22" t="s">
        <v>82</v>
      </c>
      <c r="C44" s="23" t="s">
        <v>83</v>
      </c>
      <c r="D44" s="19"/>
      <c r="E44" s="6"/>
      <c r="F44" s="6"/>
      <c r="G44" s="6"/>
      <c r="H44" s="6"/>
      <c r="I44" s="6"/>
      <c r="J44" s="6"/>
      <c r="K44" s="6"/>
      <c r="L44" s="6"/>
      <c r="M44" s="6"/>
      <c r="N44" s="6"/>
      <c r="O44" s="6"/>
      <c r="P44" s="6"/>
      <c r="Q44" s="6"/>
      <c r="R44" s="6"/>
      <c r="S44" s="6"/>
      <c r="T44" s="6"/>
      <c r="U44" s="6"/>
      <c r="V44" s="6"/>
      <c r="W44" s="6"/>
      <c r="X44" s="6"/>
      <c r="Y44" s="6"/>
      <c r="Z44" s="6"/>
    </row>
    <row r="45" spans="1:26" ht="15.75" customHeight="1" x14ac:dyDescent="0.2">
      <c r="A45" s="6"/>
      <c r="B45" s="43" t="s">
        <v>84</v>
      </c>
      <c r="C45" s="32" t="s">
        <v>85</v>
      </c>
      <c r="D45" s="19" t="s">
        <v>12</v>
      </c>
      <c r="E45" s="6"/>
      <c r="F45" s="6"/>
      <c r="G45" s="6"/>
      <c r="H45" s="6"/>
      <c r="I45" s="6"/>
      <c r="J45" s="6"/>
      <c r="K45" s="6"/>
      <c r="L45" s="6"/>
      <c r="M45" s="6"/>
      <c r="N45" s="6"/>
      <c r="O45" s="6"/>
      <c r="P45" s="6"/>
      <c r="Q45" s="6"/>
      <c r="R45" s="6"/>
      <c r="S45" s="6"/>
      <c r="T45" s="6"/>
      <c r="U45" s="6"/>
      <c r="V45" s="6"/>
      <c r="W45" s="6"/>
      <c r="X45" s="6"/>
      <c r="Y45" s="6"/>
      <c r="Z45" s="6"/>
    </row>
    <row r="46" spans="1:26" ht="15.75" customHeight="1" x14ac:dyDescent="0.2">
      <c r="A46" s="6"/>
      <c r="B46" s="6"/>
      <c r="C46" s="6"/>
      <c r="D46" s="6"/>
      <c r="E46" s="6" t="s">
        <v>54</v>
      </c>
      <c r="F46" s="6"/>
      <c r="G46" s="6"/>
      <c r="H46" s="6"/>
      <c r="I46" s="6"/>
      <c r="J46" s="6"/>
      <c r="K46" s="6"/>
      <c r="L46" s="6"/>
      <c r="M46" s="6"/>
      <c r="N46" s="6"/>
      <c r="O46" s="6"/>
      <c r="P46" s="6"/>
      <c r="Q46" s="6"/>
      <c r="R46" s="6"/>
      <c r="S46" s="6"/>
      <c r="T46" s="6"/>
      <c r="U46" s="6"/>
      <c r="V46" s="6"/>
      <c r="W46" s="6"/>
      <c r="X46" s="6"/>
      <c r="Y46" s="6"/>
      <c r="Z46" s="6"/>
    </row>
    <row r="47" spans="1:26" ht="15.75" customHeight="1" x14ac:dyDescent="0.2">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5.75" customHeight="1" x14ac:dyDescent="0.2">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5.75" customHeight="1" x14ac:dyDescent="0.2">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5.75" customHeight="1" x14ac:dyDescent="0.2">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5.7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5.7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5.7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5.7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5.7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5.7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5.7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5.7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5.7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5.7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5.7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5.7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5.7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5.7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5.7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5.7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5.7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5.7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5.7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5.7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5.7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5.7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5.7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5.7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5.7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5.7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5.7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5.7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5.7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5.7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5.7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5.7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5.7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5.7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5.7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5.7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5.7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5.7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5.7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5.7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5.7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5.7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5.7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5.7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5.7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5.7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5.7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5.7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5.7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5.7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5.7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5.7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5.7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5.7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5.7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5.7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5.7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5.7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5.7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5.7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5.7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5.7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5.7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5.7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5.7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5.7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5.7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5.7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5.7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5.7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5.7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5.7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5.7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5.7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5.7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5.7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5.7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5.7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5.7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5.7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5.7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5.7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5.7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5.7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5.7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5.7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5.7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5.7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5.7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5.7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5.7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5.7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5.7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5.7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5.7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5.7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5.7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5.7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5.7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5.7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5.7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5.7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5.7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5.7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5.7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5.7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5.7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5.7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5.7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5.7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5.7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5.7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5.7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5.7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5.7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5.7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5.7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5.7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5.7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5.7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5.7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5.7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5.7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5.7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5.7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5.7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5.7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5.7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5.7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5.7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5.7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5.7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5.7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5.7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5.7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5.7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5.7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5.7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5.7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5.7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5.7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5.7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5.7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5.7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5.7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5.7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5.7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5.7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5.7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5.7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5.7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5.7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5.7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5.7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5.7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5.7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5.7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5.7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5.7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5.7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5.7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5.7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5.7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5.7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5.7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5.7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5.7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5.7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5.7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5.7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5.7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5.7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5.7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5.7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5.7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5.7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5.7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5.7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5.7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7">
    <mergeCell ref="E33:F33"/>
    <mergeCell ref="E9:I9"/>
    <mergeCell ref="E11:I15"/>
    <mergeCell ref="B17:C17"/>
    <mergeCell ref="E17:I20"/>
    <mergeCell ref="E23:F23"/>
    <mergeCell ref="H23:I23"/>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baseColWidth="10" defaultColWidth="14.5" defaultRowHeight="15" customHeight="1" x14ac:dyDescent="0.2"/>
  <cols>
    <col min="1" max="1" width="20.6640625" customWidth="1"/>
    <col min="2" max="2" width="12.5" customWidth="1"/>
    <col min="3" max="3" width="6.6640625" customWidth="1"/>
    <col min="4" max="26" width="8.83203125" customWidth="1"/>
  </cols>
  <sheetData>
    <row r="1" spans="1:26" ht="47" x14ac:dyDescent="0.55000000000000004">
      <c r="A1" s="44" t="s">
        <v>0</v>
      </c>
      <c r="B1" s="45"/>
      <c r="C1" s="45"/>
      <c r="D1" s="45"/>
      <c r="E1" s="45"/>
      <c r="F1" s="2"/>
      <c r="G1" s="2"/>
      <c r="H1" s="2"/>
      <c r="I1" s="2"/>
      <c r="J1" s="2"/>
      <c r="K1" s="2"/>
      <c r="L1" s="2"/>
      <c r="M1" s="2"/>
      <c r="N1" s="2"/>
      <c r="O1" s="2"/>
      <c r="P1" s="2"/>
      <c r="Q1" s="2"/>
      <c r="R1" s="2"/>
      <c r="S1" s="2"/>
      <c r="T1" s="2"/>
      <c r="U1" s="2"/>
      <c r="V1" s="2"/>
      <c r="W1" s="2"/>
      <c r="X1" s="2"/>
      <c r="Y1" s="2"/>
      <c r="Z1" s="2"/>
    </row>
    <row r="2" spans="1:26" ht="26" x14ac:dyDescent="0.3">
      <c r="A2" s="46" t="s">
        <v>86</v>
      </c>
      <c r="B2" s="45"/>
      <c r="C2" s="45"/>
      <c r="D2" s="45"/>
      <c r="E2" s="45"/>
      <c r="F2" s="2"/>
      <c r="G2" s="2"/>
      <c r="H2" s="2"/>
      <c r="I2" s="2"/>
      <c r="J2" s="2"/>
      <c r="K2" s="2"/>
      <c r="L2" s="2"/>
      <c r="M2" s="2"/>
      <c r="N2" s="2"/>
      <c r="O2" s="2"/>
      <c r="P2" s="2"/>
      <c r="Q2" s="2"/>
      <c r="R2" s="2"/>
      <c r="S2" s="2"/>
      <c r="T2" s="2"/>
      <c r="U2" s="2"/>
      <c r="V2" s="2"/>
      <c r="W2" s="2"/>
      <c r="X2" s="2"/>
      <c r="Y2" s="2"/>
      <c r="Z2" s="2"/>
    </row>
    <row r="3" spans="1:26" x14ac:dyDescent="0.2">
      <c r="A3" s="47" t="s">
        <v>87</v>
      </c>
      <c r="B3" s="47" t="s">
        <v>88</v>
      </c>
      <c r="C3" s="48" t="s">
        <v>89</v>
      </c>
    </row>
    <row r="4" spans="1:26" x14ac:dyDescent="0.2">
      <c r="A4" s="49" t="s">
        <v>45</v>
      </c>
      <c r="B4" s="49" t="str">
        <f>IF(Definitions!H25="","",Definitions!H25)</f>
        <v>PWRCOA001</v>
      </c>
      <c r="C4" s="50">
        <v>0.05</v>
      </c>
    </row>
    <row r="5" spans="1:26" x14ac:dyDescent="0.2">
      <c r="A5" s="49" t="s">
        <v>45</v>
      </c>
      <c r="B5" s="49" t="str">
        <f>IF(Definitions!H26="","",Definitions!H26)</f>
        <v>PWROHC001</v>
      </c>
      <c r="C5" s="50">
        <v>0</v>
      </c>
    </row>
    <row r="6" spans="1:26" x14ac:dyDescent="0.2">
      <c r="A6" s="49" t="s">
        <v>45</v>
      </c>
      <c r="B6" s="49" t="str">
        <f>IF(Definitions!H27="","",Definitions!H27)</f>
        <v>PWROHC002</v>
      </c>
      <c r="C6" s="50">
        <v>0</v>
      </c>
    </row>
    <row r="7" spans="1:26" x14ac:dyDescent="0.2">
      <c r="A7" s="49" t="s">
        <v>45</v>
      </c>
      <c r="B7" s="49" t="str">
        <f>IF(Definitions!H28="","",Definitions!H28)</f>
        <v>PWRNGS001</v>
      </c>
      <c r="C7" s="50">
        <v>0</v>
      </c>
    </row>
    <row r="8" spans="1:26" x14ac:dyDescent="0.2">
      <c r="A8" s="49" t="s">
        <v>45</v>
      </c>
      <c r="B8" s="49" t="str">
        <f>IF(Definitions!H29="","",Definitions!H29)</f>
        <v>PWRNGS002</v>
      </c>
      <c r="C8" s="50">
        <v>0</v>
      </c>
    </row>
    <row r="9" spans="1:26" x14ac:dyDescent="0.2">
      <c r="A9" s="49" t="s">
        <v>45</v>
      </c>
      <c r="B9" s="49" t="str">
        <f>IF(Definitions!H30="","",Definitions!H30)</f>
        <v>PWROHC003</v>
      </c>
      <c r="C9" s="50">
        <v>0</v>
      </c>
    </row>
    <row r="10" spans="1:26" x14ac:dyDescent="0.2">
      <c r="A10" s="49" t="s">
        <v>45</v>
      </c>
      <c r="B10" s="49" t="str">
        <f>IF(Definitions!H31="","",Definitions!H31)</f>
        <v/>
      </c>
      <c r="C10" s="50">
        <v>0</v>
      </c>
    </row>
    <row r="11" spans="1:26" x14ac:dyDescent="0.2">
      <c r="A11" s="49" t="s">
        <v>49</v>
      </c>
      <c r="B11" s="49" t="str">
        <f>IF(Definitions!H25="","",Definitions!H25)</f>
        <v>PWRCOA001</v>
      </c>
      <c r="C11" s="51">
        <v>15</v>
      </c>
    </row>
    <row r="12" spans="1:26" x14ac:dyDescent="0.2">
      <c r="A12" s="49" t="s">
        <v>49</v>
      </c>
      <c r="B12" s="49" t="str">
        <f>IF(Definitions!H26="","",Definitions!H26)</f>
        <v>PWROHC001</v>
      </c>
      <c r="C12" s="51">
        <v>0</v>
      </c>
    </row>
    <row r="13" spans="1:26" x14ac:dyDescent="0.2">
      <c r="A13" s="49" t="s">
        <v>49</v>
      </c>
      <c r="B13" s="49" t="str">
        <f>IF(Definitions!H27="","",Definitions!H27)</f>
        <v>PWROHC002</v>
      </c>
      <c r="C13" s="51">
        <v>0</v>
      </c>
    </row>
    <row r="14" spans="1:26" x14ac:dyDescent="0.2">
      <c r="A14" s="49" t="s">
        <v>49</v>
      </c>
      <c r="B14" s="49" t="str">
        <f>IF(Definitions!H28="","",Definitions!H28)</f>
        <v>PWRNGS001</v>
      </c>
      <c r="C14" s="51">
        <v>0</v>
      </c>
    </row>
    <row r="15" spans="1:26" x14ac:dyDescent="0.2">
      <c r="A15" s="49" t="s">
        <v>49</v>
      </c>
      <c r="B15" s="49" t="str">
        <f>IF(Definitions!H29="","",Definitions!H29)</f>
        <v>PWRNGS002</v>
      </c>
      <c r="C15" s="51">
        <v>0</v>
      </c>
    </row>
    <row r="16" spans="1:26" x14ac:dyDescent="0.2">
      <c r="A16" s="49" t="s">
        <v>49</v>
      </c>
      <c r="B16" s="49" t="str">
        <f>IF(Definitions!H30="","",Definitions!H30)</f>
        <v>PWROHC003</v>
      </c>
      <c r="C16" s="51">
        <v>0</v>
      </c>
    </row>
    <row r="17" spans="1:7" x14ac:dyDescent="0.2">
      <c r="A17" s="49" t="s">
        <v>49</v>
      </c>
      <c r="B17" s="49" t="str">
        <f>IF(Definitions!H31="","",Definitions!H31)</f>
        <v/>
      </c>
      <c r="C17" s="51">
        <v>0</v>
      </c>
    </row>
    <row r="18" spans="1:7" x14ac:dyDescent="0.2">
      <c r="A18" s="52" t="s">
        <v>90</v>
      </c>
      <c r="B18" s="52" t="str">
        <f>IF(Definitions!H25="","",Definitions!H25)</f>
        <v>PWRCOA001</v>
      </c>
      <c r="C18" s="53">
        <v>0.06</v>
      </c>
    </row>
    <row r="19" spans="1:7" x14ac:dyDescent="0.2">
      <c r="A19" s="52" t="s">
        <v>80</v>
      </c>
      <c r="B19" s="52" t="str">
        <f>IF(Definitions!H25="","",Definitions!H25)</f>
        <v>PWRCOA001</v>
      </c>
      <c r="C19" s="53">
        <v>2.5000000000000001E-2</v>
      </c>
    </row>
    <row r="20" spans="1:7" x14ac:dyDescent="0.2">
      <c r="A20" s="52" t="s">
        <v>91</v>
      </c>
      <c r="B20" s="52" t="str">
        <f>IF(Definitions!H25="","",Definitions!H25)</f>
        <v>PWRCOA001</v>
      </c>
      <c r="C20" s="54">
        <v>100</v>
      </c>
    </row>
    <row r="21" spans="1:7" ht="15.75" customHeight="1" x14ac:dyDescent="0.2">
      <c r="A21" s="55" t="s">
        <v>23</v>
      </c>
      <c r="B21" s="52" t="str">
        <f>IF(Definitions!H25="","",Definitions!H25)</f>
        <v>PWRCOA001</v>
      </c>
      <c r="C21" s="53">
        <v>5.0000000000000001E-3</v>
      </c>
    </row>
    <row r="22" spans="1:7" ht="15.75" customHeight="1" x14ac:dyDescent="0.2">
      <c r="A22" s="55" t="s">
        <v>19</v>
      </c>
      <c r="B22" s="52" t="str">
        <f>IF(Definitions!H25="","",Definitions!H25)</f>
        <v>PWRCOA001</v>
      </c>
      <c r="C22" s="53">
        <v>0.01</v>
      </c>
    </row>
    <row r="23" spans="1:7" ht="15.75" customHeight="1" x14ac:dyDescent="0.2">
      <c r="A23" s="55" t="s">
        <v>21</v>
      </c>
      <c r="B23" s="52" t="str">
        <f>IF(Definitions!H25="","",Definitions!H25)</f>
        <v>PWRCOA001</v>
      </c>
      <c r="C23" s="53">
        <v>1.4999999999999999E-2</v>
      </c>
      <c r="G23" s="56"/>
    </row>
    <row r="24" spans="1:7" ht="15.75" customHeight="1" x14ac:dyDescent="0.2">
      <c r="A24" s="52" t="s">
        <v>64</v>
      </c>
      <c r="B24" s="52" t="str">
        <f>IF(Definitions!H25="","",Definitions!H25)</f>
        <v>PWRCOA001</v>
      </c>
      <c r="C24" s="53">
        <v>0.25</v>
      </c>
    </row>
    <row r="25" spans="1:7" ht="15.75" customHeight="1" x14ac:dyDescent="0.2">
      <c r="A25" s="52" t="s">
        <v>60</v>
      </c>
      <c r="B25" s="52" t="str">
        <f>IF(Definitions!H25="","",Definitions!H25)</f>
        <v>PWRCOA001</v>
      </c>
      <c r="C25" s="53">
        <v>0.85</v>
      </c>
    </row>
    <row r="26" spans="1:7" ht="15.75" customHeight="1" x14ac:dyDescent="0.2">
      <c r="A26" s="52" t="s">
        <v>58</v>
      </c>
      <c r="B26" s="52" t="str">
        <f>IF(Definitions!H25="","",Definitions!H25)</f>
        <v>PWRCOA001</v>
      </c>
      <c r="C26" s="57">
        <v>40</v>
      </c>
    </row>
    <row r="27" spans="1:7" ht="15.75" customHeight="1" x14ac:dyDescent="0.2">
      <c r="A27" s="52" t="s">
        <v>90</v>
      </c>
      <c r="B27" s="52" t="str">
        <f>IF(Definitions!H26="","",Definitions!H26)</f>
        <v>PWROHC001</v>
      </c>
      <c r="C27" s="53">
        <v>0.06</v>
      </c>
    </row>
    <row r="28" spans="1:7" ht="15.75" customHeight="1" x14ac:dyDescent="0.2">
      <c r="A28" s="52" t="s">
        <v>80</v>
      </c>
      <c r="B28" s="52" t="str">
        <f>IF(Definitions!H26="","",Definitions!H26)</f>
        <v>PWROHC001</v>
      </c>
      <c r="C28" s="53">
        <v>2.5000000000000001E-2</v>
      </c>
    </row>
    <row r="29" spans="1:7" ht="15.75" customHeight="1" x14ac:dyDescent="0.2">
      <c r="A29" s="52" t="s">
        <v>91</v>
      </c>
      <c r="B29" s="52" t="str">
        <f>IF(Definitions!H26="","",Definitions!H26)</f>
        <v>PWROHC001</v>
      </c>
      <c r="C29" s="54">
        <v>100</v>
      </c>
    </row>
    <row r="30" spans="1:7" ht="15.75" customHeight="1" x14ac:dyDescent="0.2">
      <c r="A30" s="55" t="s">
        <v>23</v>
      </c>
      <c r="B30" s="52" t="str">
        <f>IF(Definitions!H26="","",Definitions!H26)</f>
        <v>PWROHC001</v>
      </c>
      <c r="C30" s="53">
        <v>5.0000000000000001E-3</v>
      </c>
    </row>
    <row r="31" spans="1:7" ht="15.75" customHeight="1" x14ac:dyDescent="0.2">
      <c r="A31" s="55" t="s">
        <v>19</v>
      </c>
      <c r="B31" s="52" t="str">
        <f>IF(Definitions!H26="","",Definitions!H26)</f>
        <v>PWROHC001</v>
      </c>
      <c r="C31" s="53">
        <v>0.01</v>
      </c>
    </row>
    <row r="32" spans="1:7" ht="15.75" customHeight="1" x14ac:dyDescent="0.2">
      <c r="A32" s="55" t="s">
        <v>21</v>
      </c>
      <c r="B32" s="52" t="str">
        <f>IF(Definitions!H26="","",Definitions!H26)</f>
        <v>PWROHC001</v>
      </c>
      <c r="C32" s="53">
        <v>1.4999999999999999E-2</v>
      </c>
    </row>
    <row r="33" spans="1:3" ht="15.75" customHeight="1" x14ac:dyDescent="0.2">
      <c r="A33" s="52" t="s">
        <v>64</v>
      </c>
      <c r="B33" s="52" t="str">
        <f>IF(Definitions!H26="","",Definitions!H26)</f>
        <v>PWROHC001</v>
      </c>
      <c r="C33" s="53">
        <v>0.25</v>
      </c>
    </row>
    <row r="34" spans="1:3" ht="15.75" customHeight="1" x14ac:dyDescent="0.2">
      <c r="A34" s="52" t="s">
        <v>60</v>
      </c>
      <c r="B34" s="52" t="str">
        <f>IF(Definitions!H26="","",Definitions!H26)</f>
        <v>PWROHC001</v>
      </c>
      <c r="C34" s="53">
        <v>0.85</v>
      </c>
    </row>
    <row r="35" spans="1:3" ht="15.75" customHeight="1" x14ac:dyDescent="0.2">
      <c r="A35" s="52" t="s">
        <v>58</v>
      </c>
      <c r="B35" s="52" t="str">
        <f>IF(Definitions!H26="","",Definitions!H26)</f>
        <v>PWROHC001</v>
      </c>
      <c r="C35" s="57">
        <v>40</v>
      </c>
    </row>
    <row r="36" spans="1:3" ht="15.75" customHeight="1" x14ac:dyDescent="0.2">
      <c r="A36" s="52" t="s">
        <v>90</v>
      </c>
      <c r="B36" s="52" t="str">
        <f>IF(Definitions!H27="","",Definitions!H27)</f>
        <v>PWROHC002</v>
      </c>
      <c r="C36" s="51">
        <v>0</v>
      </c>
    </row>
    <row r="37" spans="1:3" ht="15.75" customHeight="1" x14ac:dyDescent="0.2">
      <c r="A37" s="52" t="s">
        <v>80</v>
      </c>
      <c r="B37" s="52" t="str">
        <f>IF(Definitions!H27="","",Definitions!H27)</f>
        <v>PWROHC002</v>
      </c>
      <c r="C37" s="51">
        <v>0</v>
      </c>
    </row>
    <row r="38" spans="1:3" ht="15.75" customHeight="1" x14ac:dyDescent="0.2">
      <c r="A38" s="52" t="s">
        <v>91</v>
      </c>
      <c r="B38" s="52" t="str">
        <f>IF(Definitions!H27="","",Definitions!H27)</f>
        <v>PWROHC002</v>
      </c>
      <c r="C38" s="51">
        <v>0</v>
      </c>
    </row>
    <row r="39" spans="1:3" ht="15.75" customHeight="1" x14ac:dyDescent="0.2">
      <c r="A39" s="55" t="s">
        <v>23</v>
      </c>
      <c r="B39" s="52" t="str">
        <f>IF(Definitions!H27="","",Definitions!H27)</f>
        <v>PWROHC002</v>
      </c>
      <c r="C39" s="51">
        <v>0</v>
      </c>
    </row>
    <row r="40" spans="1:3" ht="15.75" customHeight="1" x14ac:dyDescent="0.2">
      <c r="A40" s="55" t="s">
        <v>19</v>
      </c>
      <c r="B40" s="52" t="str">
        <f>IF(Definitions!H27="","",Definitions!H27)</f>
        <v>PWROHC002</v>
      </c>
      <c r="C40" s="51">
        <v>0</v>
      </c>
    </row>
    <row r="41" spans="1:3" ht="15.75" customHeight="1" x14ac:dyDescent="0.2">
      <c r="A41" s="55" t="s">
        <v>21</v>
      </c>
      <c r="B41" s="52" t="str">
        <f>IF(Definitions!H27="","",Definitions!H27)</f>
        <v>PWROHC002</v>
      </c>
      <c r="C41" s="51">
        <v>0</v>
      </c>
    </row>
    <row r="42" spans="1:3" ht="15.75" customHeight="1" x14ac:dyDescent="0.2">
      <c r="A42" s="52" t="s">
        <v>64</v>
      </c>
      <c r="B42" s="52" t="str">
        <f>IF(Definitions!H27="","",Definitions!H27)</f>
        <v>PWROHC002</v>
      </c>
      <c r="C42" s="51">
        <v>0</v>
      </c>
    </row>
    <row r="43" spans="1:3" ht="15.75" customHeight="1" x14ac:dyDescent="0.2">
      <c r="A43" s="52" t="s">
        <v>60</v>
      </c>
      <c r="B43" s="52" t="str">
        <f>IF(Definitions!H27="","",Definitions!H27)</f>
        <v>PWROHC002</v>
      </c>
      <c r="C43" s="51">
        <v>0</v>
      </c>
    </row>
    <row r="44" spans="1:3" ht="15.75" customHeight="1" x14ac:dyDescent="0.2">
      <c r="A44" s="52" t="s">
        <v>58</v>
      </c>
      <c r="B44" s="52" t="str">
        <f>IF(Definitions!H27="","",Definitions!H27)</f>
        <v>PWROHC002</v>
      </c>
      <c r="C44" s="51">
        <v>0</v>
      </c>
    </row>
    <row r="45" spans="1:3" ht="15.75" customHeight="1" x14ac:dyDescent="0.2">
      <c r="A45" s="52" t="s">
        <v>90</v>
      </c>
      <c r="B45" s="52" t="str">
        <f>IF(Definitions!H28="","",Definitions!H28)</f>
        <v>PWRNGS001</v>
      </c>
      <c r="C45" s="51">
        <v>0</v>
      </c>
    </row>
    <row r="46" spans="1:3" ht="15.75" customHeight="1" x14ac:dyDescent="0.2">
      <c r="A46" s="52" t="s">
        <v>80</v>
      </c>
      <c r="B46" s="52" t="str">
        <f>IF(Definitions!H28="","",Definitions!H28)</f>
        <v>PWRNGS001</v>
      </c>
      <c r="C46" s="51">
        <v>0</v>
      </c>
    </row>
    <row r="47" spans="1:3" ht="15.75" customHeight="1" x14ac:dyDescent="0.2">
      <c r="A47" s="52" t="s">
        <v>91</v>
      </c>
      <c r="B47" s="52" t="str">
        <f>IF(Definitions!H28="","",Definitions!H28)</f>
        <v>PWRNGS001</v>
      </c>
      <c r="C47" s="51">
        <v>0</v>
      </c>
    </row>
    <row r="48" spans="1:3" ht="15.75" customHeight="1" x14ac:dyDescent="0.2">
      <c r="A48" s="55" t="s">
        <v>23</v>
      </c>
      <c r="B48" s="52" t="str">
        <f>IF(Definitions!H28="","",Definitions!H28)</f>
        <v>PWRNGS001</v>
      </c>
      <c r="C48" s="51">
        <v>0</v>
      </c>
    </row>
    <row r="49" spans="1:3" ht="15.75" customHeight="1" x14ac:dyDescent="0.2">
      <c r="A49" s="55" t="s">
        <v>19</v>
      </c>
      <c r="B49" s="52" t="str">
        <f>IF(Definitions!H28="","",Definitions!H28)</f>
        <v>PWRNGS001</v>
      </c>
      <c r="C49" s="51">
        <v>0</v>
      </c>
    </row>
    <row r="50" spans="1:3" ht="15.75" customHeight="1" x14ac:dyDescent="0.2">
      <c r="A50" s="55" t="s">
        <v>21</v>
      </c>
      <c r="B50" s="52" t="str">
        <f>IF(Definitions!H28="","",Definitions!H28)</f>
        <v>PWRNGS001</v>
      </c>
      <c r="C50" s="51">
        <v>0</v>
      </c>
    </row>
    <row r="51" spans="1:3" ht="15.75" customHeight="1" x14ac:dyDescent="0.2">
      <c r="A51" s="52" t="s">
        <v>64</v>
      </c>
      <c r="B51" s="52" t="str">
        <f>IF(Definitions!H28="","",Definitions!H28)</f>
        <v>PWRNGS001</v>
      </c>
      <c r="C51" s="51">
        <v>0</v>
      </c>
    </row>
    <row r="52" spans="1:3" ht="15.75" customHeight="1" x14ac:dyDescent="0.2">
      <c r="A52" s="52" t="s">
        <v>60</v>
      </c>
      <c r="B52" s="52" t="str">
        <f>IF(Definitions!H28="","",Definitions!H28)</f>
        <v>PWRNGS001</v>
      </c>
      <c r="C52" s="51">
        <v>0</v>
      </c>
    </row>
    <row r="53" spans="1:3" ht="15.75" customHeight="1" x14ac:dyDescent="0.2">
      <c r="A53" s="52" t="s">
        <v>58</v>
      </c>
      <c r="B53" s="52" t="str">
        <f>IF(Definitions!H28="","",Definitions!H28)</f>
        <v>PWRNGS001</v>
      </c>
      <c r="C53" s="51">
        <v>0</v>
      </c>
    </row>
    <row r="54" spans="1:3" ht="15.75" customHeight="1" x14ac:dyDescent="0.2">
      <c r="A54" s="52" t="s">
        <v>90</v>
      </c>
      <c r="B54" s="52" t="str">
        <f>IF(Definitions!H29="","",Definitions!H29)</f>
        <v>PWRNGS002</v>
      </c>
      <c r="C54" s="51">
        <v>0</v>
      </c>
    </row>
    <row r="55" spans="1:3" ht="15.75" customHeight="1" x14ac:dyDescent="0.2">
      <c r="A55" s="52" t="s">
        <v>80</v>
      </c>
      <c r="B55" s="52" t="str">
        <f>IF(Definitions!H29="","",Definitions!H29)</f>
        <v>PWRNGS002</v>
      </c>
      <c r="C55" s="51">
        <v>0</v>
      </c>
    </row>
    <row r="56" spans="1:3" ht="15.75" customHeight="1" x14ac:dyDescent="0.2">
      <c r="A56" s="52" t="s">
        <v>91</v>
      </c>
      <c r="B56" s="52" t="str">
        <f>IF(Definitions!H29="","",Definitions!H29)</f>
        <v>PWRNGS002</v>
      </c>
      <c r="C56" s="51">
        <v>0</v>
      </c>
    </row>
    <row r="57" spans="1:3" ht="15.75" customHeight="1" x14ac:dyDescent="0.2">
      <c r="A57" s="55" t="s">
        <v>23</v>
      </c>
      <c r="B57" s="52" t="str">
        <f>IF(Definitions!H29="","",Definitions!H29)</f>
        <v>PWRNGS002</v>
      </c>
      <c r="C57" s="51">
        <v>0</v>
      </c>
    </row>
    <row r="58" spans="1:3" ht="15.75" customHeight="1" x14ac:dyDescent="0.2">
      <c r="A58" s="55" t="s">
        <v>19</v>
      </c>
      <c r="B58" s="52" t="str">
        <f>IF(Definitions!H29="","",Definitions!H29)</f>
        <v>PWRNGS002</v>
      </c>
      <c r="C58" s="51">
        <v>0</v>
      </c>
    </row>
    <row r="59" spans="1:3" ht="15.75" customHeight="1" x14ac:dyDescent="0.2">
      <c r="A59" s="55" t="s">
        <v>21</v>
      </c>
      <c r="B59" s="52" t="str">
        <f>IF(Definitions!H29="","",Definitions!H29)</f>
        <v>PWRNGS002</v>
      </c>
      <c r="C59" s="51">
        <v>0</v>
      </c>
    </row>
    <row r="60" spans="1:3" ht="15.75" customHeight="1" x14ac:dyDescent="0.2">
      <c r="A60" s="52" t="s">
        <v>64</v>
      </c>
      <c r="B60" s="52" t="str">
        <f>IF(Definitions!H29="","",Definitions!H29)</f>
        <v>PWRNGS002</v>
      </c>
      <c r="C60" s="51">
        <v>0</v>
      </c>
    </row>
    <row r="61" spans="1:3" ht="15.75" customHeight="1" x14ac:dyDescent="0.2">
      <c r="A61" s="52" t="s">
        <v>60</v>
      </c>
      <c r="B61" s="52" t="str">
        <f>IF(Definitions!H29="","",Definitions!H29)</f>
        <v>PWRNGS002</v>
      </c>
      <c r="C61" s="51">
        <v>0</v>
      </c>
    </row>
    <row r="62" spans="1:3" ht="15.75" customHeight="1" x14ac:dyDescent="0.2">
      <c r="A62" s="52" t="s">
        <v>58</v>
      </c>
      <c r="B62" s="52" t="str">
        <f>IF(Definitions!H29="","",Definitions!H29)</f>
        <v>PWRNGS002</v>
      </c>
      <c r="C62" s="51">
        <v>0</v>
      </c>
    </row>
    <row r="63" spans="1:3" ht="15.75" customHeight="1" x14ac:dyDescent="0.2">
      <c r="A63" s="52" t="s">
        <v>90</v>
      </c>
      <c r="B63" s="52" t="str">
        <f>IF(Definitions!H30="","",Definitions!H30)</f>
        <v>PWROHC003</v>
      </c>
      <c r="C63" s="51">
        <v>0</v>
      </c>
    </row>
    <row r="64" spans="1:3" ht="15.75" customHeight="1" x14ac:dyDescent="0.2">
      <c r="A64" s="52" t="s">
        <v>80</v>
      </c>
      <c r="B64" s="52" t="str">
        <f>IF(Definitions!H30="","",Definitions!H30)</f>
        <v>PWROHC003</v>
      </c>
      <c r="C64" s="51">
        <v>0</v>
      </c>
    </row>
    <row r="65" spans="1:3" ht="15.75" customHeight="1" x14ac:dyDescent="0.2">
      <c r="A65" s="52" t="s">
        <v>91</v>
      </c>
      <c r="B65" s="52" t="str">
        <f>IF(Definitions!H30="","",Definitions!H30)</f>
        <v>PWROHC003</v>
      </c>
      <c r="C65" s="51">
        <v>0</v>
      </c>
    </row>
    <row r="66" spans="1:3" ht="15.75" customHeight="1" x14ac:dyDescent="0.2">
      <c r="A66" s="55" t="s">
        <v>23</v>
      </c>
      <c r="B66" s="52" t="str">
        <f>IF(Definitions!H30="","",Definitions!H30)</f>
        <v>PWROHC003</v>
      </c>
      <c r="C66" s="51">
        <v>0</v>
      </c>
    </row>
    <row r="67" spans="1:3" ht="15.75" customHeight="1" x14ac:dyDescent="0.2">
      <c r="A67" s="55" t="s">
        <v>19</v>
      </c>
      <c r="B67" s="52" t="str">
        <f>IF(Definitions!H30="","",Definitions!H30)</f>
        <v>PWROHC003</v>
      </c>
      <c r="C67" s="51">
        <v>0</v>
      </c>
    </row>
    <row r="68" spans="1:3" ht="15.75" customHeight="1" x14ac:dyDescent="0.2">
      <c r="A68" s="55" t="s">
        <v>21</v>
      </c>
      <c r="B68" s="52" t="str">
        <f>IF(Definitions!H30="","",Definitions!H30)</f>
        <v>PWROHC003</v>
      </c>
      <c r="C68" s="51">
        <v>0</v>
      </c>
    </row>
    <row r="69" spans="1:3" ht="15.75" customHeight="1" x14ac:dyDescent="0.2">
      <c r="A69" s="52" t="s">
        <v>64</v>
      </c>
      <c r="B69" s="52" t="str">
        <f>IF(Definitions!H30="","",Definitions!H30)</f>
        <v>PWROHC003</v>
      </c>
      <c r="C69" s="51">
        <v>0</v>
      </c>
    </row>
    <row r="70" spans="1:3" ht="15.75" customHeight="1" x14ac:dyDescent="0.2">
      <c r="A70" s="52" t="s">
        <v>60</v>
      </c>
      <c r="B70" s="52" t="str">
        <f>IF(Definitions!H30="","",Definitions!H30)</f>
        <v>PWROHC003</v>
      </c>
      <c r="C70" s="51">
        <v>0</v>
      </c>
    </row>
    <row r="71" spans="1:3" ht="15.75" customHeight="1" x14ac:dyDescent="0.2">
      <c r="A71" s="52" t="s">
        <v>58</v>
      </c>
      <c r="B71" s="52" t="str">
        <f>IF(Definitions!H30="","",Definitions!H30)</f>
        <v>PWROHC003</v>
      </c>
      <c r="C71" s="51">
        <v>0</v>
      </c>
    </row>
    <row r="72" spans="1:3" ht="15.75" customHeight="1" x14ac:dyDescent="0.2">
      <c r="A72" s="52" t="s">
        <v>90</v>
      </c>
      <c r="B72" s="52" t="str">
        <f>IF(Definitions!H31="","",Definitions!H31)</f>
        <v/>
      </c>
      <c r="C72" s="53"/>
    </row>
    <row r="73" spans="1:3" ht="15.75" customHeight="1" x14ac:dyDescent="0.2">
      <c r="A73" s="52" t="s">
        <v>80</v>
      </c>
      <c r="B73" s="52" t="str">
        <f>IF(Definitions!H31="","",Definitions!H31)</f>
        <v/>
      </c>
      <c r="C73" s="53"/>
    </row>
    <row r="74" spans="1:3" ht="15.75" customHeight="1" x14ac:dyDescent="0.2">
      <c r="A74" s="52" t="s">
        <v>91</v>
      </c>
      <c r="B74" s="52" t="str">
        <f>IF(Definitions!H31="","",Definitions!H31)</f>
        <v/>
      </c>
      <c r="C74" s="54"/>
    </row>
    <row r="75" spans="1:3" ht="15.75" customHeight="1" x14ac:dyDescent="0.2">
      <c r="A75" s="55" t="s">
        <v>23</v>
      </c>
      <c r="B75" s="52" t="str">
        <f>IF(Definitions!H31="","",Definitions!H31)</f>
        <v/>
      </c>
      <c r="C75" s="53"/>
    </row>
    <row r="76" spans="1:3" ht="15.75" customHeight="1" x14ac:dyDescent="0.2">
      <c r="A76" s="55" t="s">
        <v>19</v>
      </c>
      <c r="B76" s="52" t="str">
        <f>IF(Definitions!H31="","",Definitions!H31)</f>
        <v/>
      </c>
      <c r="C76" s="53"/>
    </row>
    <row r="77" spans="1:3" ht="15.75" customHeight="1" x14ac:dyDescent="0.2">
      <c r="A77" s="55" t="s">
        <v>21</v>
      </c>
      <c r="B77" s="52" t="str">
        <f>IF(Definitions!H31="","",Definitions!H31)</f>
        <v/>
      </c>
      <c r="C77" s="53"/>
    </row>
    <row r="78" spans="1:3" ht="15.75" customHeight="1" x14ac:dyDescent="0.2">
      <c r="A78" s="52" t="s">
        <v>64</v>
      </c>
      <c r="B78" s="52" t="str">
        <f>IF(Definitions!H31="","",Definitions!H31)</f>
        <v/>
      </c>
      <c r="C78" s="53"/>
    </row>
    <row r="79" spans="1:3" ht="15.75" customHeight="1" x14ac:dyDescent="0.2">
      <c r="A79" s="52" t="s">
        <v>60</v>
      </c>
      <c r="B79" s="52" t="str">
        <f>IF(Definitions!H31="","",Definitions!H31)</f>
        <v/>
      </c>
      <c r="C79" s="53"/>
    </row>
    <row r="80" spans="1:3" ht="15.75" customHeight="1" x14ac:dyDescent="0.2">
      <c r="A80" s="52" t="s">
        <v>58</v>
      </c>
      <c r="B80" s="52" t="str">
        <f>IF(Definitions!H31="","",Definitions!H31)</f>
        <v/>
      </c>
      <c r="C80" s="57"/>
    </row>
    <row r="81" spans="1:3" ht="15.75" customHeight="1" x14ac:dyDescent="0.2">
      <c r="A81" s="52" t="s">
        <v>82</v>
      </c>
      <c r="B81" s="49" t="str">
        <f>IF(Definitions!H25="","",Definitions!H25)</f>
        <v>PWRCOA001</v>
      </c>
      <c r="C81" s="53">
        <v>0.25</v>
      </c>
    </row>
    <row r="82" spans="1:3" ht="15.75" customHeight="1" x14ac:dyDescent="0.2">
      <c r="A82" s="58" t="s">
        <v>82</v>
      </c>
      <c r="B82" s="49" t="str">
        <f>IF(Definitions!H26="","",Definitions!H26)</f>
        <v>PWROHC001</v>
      </c>
      <c r="C82" s="53">
        <v>0.25</v>
      </c>
    </row>
    <row r="83" spans="1:3" ht="15.75" customHeight="1" x14ac:dyDescent="0.2">
      <c r="A83" s="58" t="s">
        <v>82</v>
      </c>
      <c r="B83" s="49" t="str">
        <f>IF(Definitions!H27="","",Definitions!H27)</f>
        <v>PWROHC002</v>
      </c>
      <c r="C83" s="51">
        <v>0</v>
      </c>
    </row>
    <row r="84" spans="1:3" ht="15.75" customHeight="1" x14ac:dyDescent="0.2">
      <c r="A84" s="58" t="s">
        <v>82</v>
      </c>
      <c r="B84" s="49" t="str">
        <f>IF(Definitions!H28="","",Definitions!H28)</f>
        <v>PWRNGS001</v>
      </c>
      <c r="C84" s="51">
        <v>0</v>
      </c>
    </row>
    <row r="85" spans="1:3" ht="15.75" customHeight="1" x14ac:dyDescent="0.2">
      <c r="A85" s="58" t="s">
        <v>82</v>
      </c>
      <c r="B85" s="49" t="str">
        <f>IF(Definitions!H29="","",Definitions!H29)</f>
        <v>PWRNGS002</v>
      </c>
      <c r="C85" s="51">
        <v>0</v>
      </c>
    </row>
    <row r="86" spans="1:3" ht="15.75" customHeight="1" x14ac:dyDescent="0.2">
      <c r="A86" s="58" t="s">
        <v>82</v>
      </c>
      <c r="B86" s="49" t="str">
        <f>IF(Definitions!H30="","",Definitions!H30)</f>
        <v>PWROHC003</v>
      </c>
      <c r="C86" s="51">
        <v>0</v>
      </c>
    </row>
    <row r="87" spans="1:3" ht="15.75" customHeight="1" x14ac:dyDescent="0.2"/>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3:C86" xr:uid="{00000000-0009-0000-0000-000001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showGridLines="0" workbookViewId="0"/>
  </sheetViews>
  <sheetFormatPr baseColWidth="10" defaultColWidth="14.5" defaultRowHeight="15" customHeight="1" x14ac:dyDescent="0.2"/>
  <cols>
    <col min="1" max="1" width="41.5" customWidth="1"/>
    <col min="2" max="2" width="23.1640625" customWidth="1"/>
    <col min="3" max="3" width="19.83203125" customWidth="1"/>
    <col min="4" max="4" width="21.6640625" customWidth="1"/>
    <col min="5" max="5" width="25" customWidth="1"/>
    <col min="6" max="6" width="16" customWidth="1"/>
    <col min="7" max="8" width="12.6640625" customWidth="1"/>
    <col min="9" max="9" width="14.33203125" customWidth="1"/>
    <col min="10" max="10" width="8.83203125" customWidth="1"/>
    <col min="11" max="11" width="14.1640625" customWidth="1"/>
    <col min="12" max="30" width="8.83203125" customWidth="1"/>
  </cols>
  <sheetData>
    <row r="1" spans="1:30" ht="47" x14ac:dyDescent="0.55000000000000004">
      <c r="A1" s="44" t="s">
        <v>0</v>
      </c>
      <c r="B1" s="45"/>
      <c r="C1" s="45"/>
      <c r="D1" s="45"/>
      <c r="E1" s="45"/>
      <c r="F1" s="2"/>
      <c r="G1" s="2"/>
      <c r="H1" s="2"/>
      <c r="I1" s="2"/>
      <c r="J1" s="2"/>
      <c r="K1" s="2"/>
      <c r="L1" s="2"/>
      <c r="M1" s="2"/>
      <c r="N1" s="2"/>
      <c r="O1" s="2"/>
      <c r="P1" s="2"/>
      <c r="Q1" s="2"/>
      <c r="R1" s="2"/>
      <c r="S1" s="2"/>
      <c r="T1" s="2"/>
      <c r="U1" s="2"/>
      <c r="V1" s="2"/>
      <c r="W1" s="2"/>
      <c r="X1" s="2"/>
      <c r="Y1" s="2"/>
      <c r="Z1" s="2"/>
      <c r="AA1" s="2"/>
      <c r="AB1" s="2"/>
      <c r="AC1" s="2"/>
      <c r="AD1" s="2"/>
    </row>
    <row r="2" spans="1:30" ht="26" x14ac:dyDescent="0.3">
      <c r="A2" s="46" t="s">
        <v>92</v>
      </c>
      <c r="B2" s="45"/>
      <c r="C2" s="45"/>
      <c r="D2" s="45"/>
      <c r="E2" s="45"/>
      <c r="F2" s="2"/>
      <c r="G2" s="2"/>
      <c r="H2" s="2"/>
      <c r="I2" s="2"/>
      <c r="J2" s="2"/>
      <c r="K2" s="2"/>
      <c r="L2" s="2"/>
      <c r="M2" s="2"/>
      <c r="N2" s="2"/>
      <c r="O2" s="2"/>
      <c r="P2" s="2"/>
      <c r="Q2" s="2"/>
      <c r="R2" s="2"/>
      <c r="S2" s="2"/>
      <c r="T2" s="2"/>
      <c r="U2" s="2"/>
      <c r="V2" s="2"/>
      <c r="W2" s="2"/>
      <c r="X2" s="2"/>
      <c r="Y2" s="2"/>
      <c r="Z2" s="2"/>
      <c r="AA2" s="2"/>
      <c r="AB2" s="2"/>
      <c r="AC2" s="2"/>
      <c r="AD2" s="2"/>
    </row>
    <row r="3" spans="1:30" x14ac:dyDescent="0.2">
      <c r="A3" s="47" t="s">
        <v>71</v>
      </c>
      <c r="B3" s="47" t="s">
        <v>93</v>
      </c>
      <c r="C3" s="47" t="s">
        <v>94</v>
      </c>
      <c r="D3" s="59" t="s">
        <v>77</v>
      </c>
      <c r="E3" s="59" t="s">
        <v>57</v>
      </c>
      <c r="F3" s="47" t="s">
        <v>16</v>
      </c>
      <c r="G3" s="47" t="s">
        <v>63</v>
      </c>
      <c r="H3" s="47" t="s">
        <v>74</v>
      </c>
      <c r="I3" s="47" t="s">
        <v>78</v>
      </c>
      <c r="J3" s="49" t="s">
        <v>95</v>
      </c>
    </row>
    <row r="4" spans="1:30" x14ac:dyDescent="0.2">
      <c r="A4" s="60" t="s">
        <v>96</v>
      </c>
      <c r="B4" s="49">
        <v>11.124000000000001</v>
      </c>
      <c r="C4" s="49">
        <v>7.9139999999999997</v>
      </c>
      <c r="D4" s="61">
        <f t="shared" ref="D4:D92" si="0">B4+C4</f>
        <v>19.038</v>
      </c>
      <c r="E4" s="61">
        <v>63.85</v>
      </c>
      <c r="F4" s="62">
        <v>55</v>
      </c>
      <c r="G4" s="49">
        <v>2017</v>
      </c>
      <c r="H4" s="49" t="s">
        <v>33</v>
      </c>
      <c r="I4" s="49" t="s">
        <v>97</v>
      </c>
      <c r="J4" s="49">
        <v>0</v>
      </c>
    </row>
    <row r="5" spans="1:30" x14ac:dyDescent="0.2">
      <c r="A5" s="60" t="s">
        <v>98</v>
      </c>
      <c r="B5" s="49">
        <v>11.124000000000001</v>
      </c>
      <c r="C5" s="49">
        <v>7.9139999999999997</v>
      </c>
      <c r="D5" s="61">
        <f t="shared" si="0"/>
        <v>19.038</v>
      </c>
      <c r="E5" s="61">
        <v>63.85</v>
      </c>
      <c r="F5" s="62">
        <v>55</v>
      </c>
      <c r="G5" s="49">
        <v>2017</v>
      </c>
      <c r="H5" s="49" t="s">
        <v>33</v>
      </c>
      <c r="I5" s="49" t="s">
        <v>97</v>
      </c>
      <c r="J5" s="49">
        <v>0</v>
      </c>
    </row>
    <row r="6" spans="1:30" x14ac:dyDescent="0.2">
      <c r="A6" s="60" t="s">
        <v>99</v>
      </c>
      <c r="B6" s="49">
        <v>11.124000000000001</v>
      </c>
      <c r="C6" s="49">
        <v>7.9139999999999997</v>
      </c>
      <c r="D6" s="61">
        <f t="shared" si="0"/>
        <v>19.038</v>
      </c>
      <c r="E6" s="61">
        <v>63.85</v>
      </c>
      <c r="F6" s="62">
        <v>55</v>
      </c>
      <c r="G6" s="49">
        <v>2017</v>
      </c>
      <c r="H6" s="49" t="s">
        <v>33</v>
      </c>
      <c r="I6" s="49" t="s">
        <v>97</v>
      </c>
      <c r="J6" s="49">
        <v>0</v>
      </c>
    </row>
    <row r="7" spans="1:30" x14ac:dyDescent="0.2">
      <c r="A7" s="60" t="s">
        <v>100</v>
      </c>
      <c r="B7" s="49">
        <v>11.124000000000001</v>
      </c>
      <c r="C7" s="49">
        <v>7.9139999999999997</v>
      </c>
      <c r="D7" s="61">
        <f t="shared" si="0"/>
        <v>19.038</v>
      </c>
      <c r="E7" s="61">
        <v>63.85</v>
      </c>
      <c r="F7" s="62">
        <v>84</v>
      </c>
      <c r="G7" s="49">
        <v>2016</v>
      </c>
      <c r="H7" s="49" t="s">
        <v>33</v>
      </c>
      <c r="I7" s="49" t="s">
        <v>97</v>
      </c>
      <c r="J7" s="49">
        <v>0</v>
      </c>
    </row>
    <row r="8" spans="1:30" x14ac:dyDescent="0.2">
      <c r="A8" s="60" t="s">
        <v>101</v>
      </c>
      <c r="B8" s="49">
        <v>11.124000000000001</v>
      </c>
      <c r="C8" s="49">
        <v>7.9139999999999997</v>
      </c>
      <c r="D8" s="61">
        <f t="shared" si="0"/>
        <v>19.038</v>
      </c>
      <c r="E8" s="61">
        <v>63.85</v>
      </c>
      <c r="F8" s="62">
        <v>300</v>
      </c>
      <c r="G8" s="49">
        <v>1984</v>
      </c>
      <c r="H8" s="49" t="s">
        <v>33</v>
      </c>
      <c r="I8" s="49" t="s">
        <v>97</v>
      </c>
      <c r="J8" s="49">
        <v>0</v>
      </c>
    </row>
    <row r="9" spans="1:30" x14ac:dyDescent="0.2">
      <c r="A9" s="60" t="s">
        <v>102</v>
      </c>
      <c r="B9" s="49">
        <v>11.124000000000001</v>
      </c>
      <c r="C9" s="49">
        <v>7.9139999999999997</v>
      </c>
      <c r="D9" s="61">
        <f t="shared" si="0"/>
        <v>19.038</v>
      </c>
      <c r="E9" s="61">
        <v>63.85</v>
      </c>
      <c r="F9" s="62">
        <v>300</v>
      </c>
      <c r="G9" s="49">
        <v>1995</v>
      </c>
      <c r="H9" s="49" t="s">
        <v>33</v>
      </c>
      <c r="I9" s="49" t="s">
        <v>97</v>
      </c>
      <c r="J9" s="49">
        <v>0</v>
      </c>
    </row>
    <row r="10" spans="1:30" x14ac:dyDescent="0.2">
      <c r="A10" s="60" t="s">
        <v>103</v>
      </c>
      <c r="B10" s="49">
        <v>11.124000000000001</v>
      </c>
      <c r="C10" s="49">
        <v>7.9139999999999997</v>
      </c>
      <c r="D10" s="61">
        <f t="shared" si="0"/>
        <v>19.038</v>
      </c>
      <c r="E10" s="61">
        <v>63.85</v>
      </c>
      <c r="F10" s="62">
        <v>150</v>
      </c>
      <c r="G10" s="49">
        <v>2015</v>
      </c>
      <c r="H10" s="49" t="s">
        <v>33</v>
      </c>
      <c r="I10" s="49" t="s">
        <v>97</v>
      </c>
      <c r="J10" s="49">
        <v>0</v>
      </c>
    </row>
    <row r="11" spans="1:30" x14ac:dyDescent="0.2">
      <c r="A11" s="60" t="s">
        <v>104</v>
      </c>
      <c r="B11" s="49">
        <v>11.124000000000001</v>
      </c>
      <c r="C11" s="49">
        <v>7.9139999999999997</v>
      </c>
      <c r="D11" s="61">
        <f t="shared" si="0"/>
        <v>19.038</v>
      </c>
      <c r="E11" s="61">
        <v>63.85</v>
      </c>
      <c r="F11" s="62">
        <v>150</v>
      </c>
      <c r="G11" s="49">
        <v>2015</v>
      </c>
      <c r="H11" s="49" t="s">
        <v>33</v>
      </c>
      <c r="I11" s="49" t="s">
        <v>97</v>
      </c>
      <c r="J11" s="49">
        <v>0</v>
      </c>
    </row>
    <row r="12" spans="1:30" x14ac:dyDescent="0.2">
      <c r="A12" s="60" t="s">
        <v>105</v>
      </c>
      <c r="B12" s="49">
        <v>11.124000000000001</v>
      </c>
      <c r="C12" s="49">
        <v>7.9139999999999997</v>
      </c>
      <c r="D12" s="61">
        <f t="shared" si="0"/>
        <v>19.038</v>
      </c>
      <c r="E12" s="61">
        <v>63.85</v>
      </c>
      <c r="F12" s="62">
        <v>82</v>
      </c>
      <c r="G12" s="49">
        <v>2010</v>
      </c>
      <c r="H12" s="49" t="s">
        <v>33</v>
      </c>
      <c r="I12" s="49" t="s">
        <v>97</v>
      </c>
      <c r="J12" s="49">
        <v>0</v>
      </c>
    </row>
    <row r="13" spans="1:30" x14ac:dyDescent="0.2">
      <c r="A13" s="60" t="s">
        <v>106</v>
      </c>
      <c r="B13" s="49">
        <v>11.124000000000001</v>
      </c>
      <c r="C13" s="49">
        <v>7.9139999999999997</v>
      </c>
      <c r="D13" s="61">
        <f t="shared" si="0"/>
        <v>19.038</v>
      </c>
      <c r="E13" s="61">
        <v>63.85</v>
      </c>
      <c r="F13" s="62">
        <v>82</v>
      </c>
      <c r="G13" s="49">
        <v>2010</v>
      </c>
      <c r="H13" s="49" t="s">
        <v>33</v>
      </c>
      <c r="I13" s="49" t="s">
        <v>97</v>
      </c>
      <c r="J13" s="49">
        <v>0</v>
      </c>
    </row>
    <row r="14" spans="1:30" x14ac:dyDescent="0.2">
      <c r="A14" s="60" t="s">
        <v>107</v>
      </c>
      <c r="B14" s="49">
        <v>11.124000000000001</v>
      </c>
      <c r="C14" s="49">
        <v>7.9139999999999997</v>
      </c>
      <c r="D14" s="61">
        <f t="shared" si="0"/>
        <v>19.038</v>
      </c>
      <c r="E14" s="61">
        <v>63.85</v>
      </c>
      <c r="F14" s="62">
        <v>82</v>
      </c>
      <c r="G14" s="49">
        <v>2011</v>
      </c>
      <c r="H14" s="49" t="s">
        <v>33</v>
      </c>
      <c r="I14" s="49" t="s">
        <v>97</v>
      </c>
      <c r="J14" s="49">
        <v>0</v>
      </c>
    </row>
    <row r="15" spans="1:30" x14ac:dyDescent="0.2">
      <c r="A15" s="60" t="s">
        <v>108</v>
      </c>
      <c r="B15" s="49">
        <v>11.124000000000001</v>
      </c>
      <c r="C15" s="49">
        <v>7.9139999999999997</v>
      </c>
      <c r="D15" s="61">
        <f t="shared" si="0"/>
        <v>19.038</v>
      </c>
      <c r="E15" s="61">
        <v>63.85</v>
      </c>
      <c r="F15" s="62">
        <v>135</v>
      </c>
      <c r="G15" s="49">
        <v>2016</v>
      </c>
      <c r="H15" s="49" t="s">
        <v>33</v>
      </c>
      <c r="I15" s="49" t="s">
        <v>97</v>
      </c>
      <c r="J15" s="49">
        <v>0</v>
      </c>
    </row>
    <row r="16" spans="1:30" x14ac:dyDescent="0.2">
      <c r="A16" s="60" t="s">
        <v>109</v>
      </c>
      <c r="B16" s="49">
        <v>11.124000000000001</v>
      </c>
      <c r="C16" s="49">
        <v>7.9139999999999997</v>
      </c>
      <c r="D16" s="61">
        <f t="shared" si="0"/>
        <v>19.038</v>
      </c>
      <c r="E16" s="61">
        <v>63.85</v>
      </c>
      <c r="F16" s="62">
        <v>150</v>
      </c>
      <c r="G16" s="49">
        <v>2017</v>
      </c>
      <c r="H16" s="49" t="s">
        <v>33</v>
      </c>
      <c r="I16" s="49" t="s">
        <v>97</v>
      </c>
      <c r="J16" s="49">
        <v>0</v>
      </c>
    </row>
    <row r="17" spans="1:10" x14ac:dyDescent="0.2">
      <c r="A17" s="60" t="s">
        <v>110</v>
      </c>
      <c r="B17" s="49">
        <v>11.124000000000001</v>
      </c>
      <c r="C17" s="49">
        <v>7.9139999999999997</v>
      </c>
      <c r="D17" s="61">
        <f t="shared" si="0"/>
        <v>19.038</v>
      </c>
      <c r="E17" s="61">
        <v>63.85</v>
      </c>
      <c r="F17" s="62">
        <v>150</v>
      </c>
      <c r="G17" s="49">
        <v>2018</v>
      </c>
      <c r="H17" s="49" t="s">
        <v>33</v>
      </c>
      <c r="I17" s="49" t="s">
        <v>97</v>
      </c>
      <c r="J17" s="49">
        <v>0</v>
      </c>
    </row>
    <row r="18" spans="1:10" x14ac:dyDescent="0.2">
      <c r="A18" s="60" t="s">
        <v>111</v>
      </c>
      <c r="B18" s="49">
        <v>11.124000000000001</v>
      </c>
      <c r="C18" s="49">
        <v>7.9139999999999997</v>
      </c>
      <c r="D18" s="61">
        <f t="shared" si="0"/>
        <v>19.038</v>
      </c>
      <c r="E18" s="61">
        <v>63.85</v>
      </c>
      <c r="F18" s="62">
        <v>150</v>
      </c>
      <c r="G18" s="49">
        <v>2015</v>
      </c>
      <c r="H18" s="49" t="s">
        <v>33</v>
      </c>
      <c r="I18" s="49" t="s">
        <v>97</v>
      </c>
      <c r="J18" s="49">
        <v>0</v>
      </c>
    </row>
    <row r="19" spans="1:10" x14ac:dyDescent="0.2">
      <c r="A19" s="60" t="s">
        <v>112</v>
      </c>
      <c r="B19" s="49">
        <v>11.124000000000001</v>
      </c>
      <c r="C19" s="49">
        <v>7.9139999999999997</v>
      </c>
      <c r="D19" s="61">
        <f t="shared" si="0"/>
        <v>19.038</v>
      </c>
      <c r="E19" s="61">
        <v>63.85</v>
      </c>
      <c r="F19" s="62">
        <v>150</v>
      </c>
      <c r="G19" s="49">
        <v>2016</v>
      </c>
      <c r="H19" s="49" t="s">
        <v>33</v>
      </c>
      <c r="I19" s="49" t="s">
        <v>97</v>
      </c>
      <c r="J19" s="49">
        <v>0</v>
      </c>
    </row>
    <row r="20" spans="1:10" x14ac:dyDescent="0.2">
      <c r="A20" s="60" t="s">
        <v>113</v>
      </c>
      <c r="B20" s="49">
        <v>11.124000000000001</v>
      </c>
      <c r="C20" s="49">
        <v>7.9139999999999997</v>
      </c>
      <c r="D20" s="61">
        <f t="shared" si="0"/>
        <v>19.038</v>
      </c>
      <c r="E20" s="61">
        <v>63.85</v>
      </c>
      <c r="F20" s="62">
        <v>668</v>
      </c>
      <c r="G20" s="49">
        <v>2022</v>
      </c>
      <c r="H20" s="49" t="s">
        <v>33</v>
      </c>
      <c r="I20" s="49" t="s">
        <v>97</v>
      </c>
      <c r="J20" s="49">
        <v>0</v>
      </c>
    </row>
    <row r="21" spans="1:10" ht="15.75" customHeight="1" x14ac:dyDescent="0.2">
      <c r="A21" s="60" t="s">
        <v>114</v>
      </c>
      <c r="B21" s="49">
        <v>11.124000000000001</v>
      </c>
      <c r="C21" s="49">
        <v>7.9139999999999997</v>
      </c>
      <c r="D21" s="61">
        <f t="shared" si="0"/>
        <v>19.038</v>
      </c>
      <c r="E21" s="61">
        <v>63.85</v>
      </c>
      <c r="F21" s="62">
        <v>668</v>
      </c>
      <c r="G21" s="49">
        <v>2022</v>
      </c>
      <c r="H21" s="49" t="s">
        <v>33</v>
      </c>
      <c r="I21" s="49" t="s">
        <v>97</v>
      </c>
      <c r="J21" s="49">
        <v>0</v>
      </c>
    </row>
    <row r="22" spans="1:10" ht="15.75" customHeight="1" x14ac:dyDescent="0.2">
      <c r="A22" s="60" t="s">
        <v>115</v>
      </c>
      <c r="B22" s="49">
        <v>11.124000000000001</v>
      </c>
      <c r="C22" s="49">
        <v>7.9139999999999997</v>
      </c>
      <c r="D22" s="61">
        <f t="shared" si="0"/>
        <v>19.038</v>
      </c>
      <c r="E22" s="61">
        <v>63.85</v>
      </c>
      <c r="F22" s="62">
        <v>105</v>
      </c>
      <c r="G22" s="49">
        <v>2016</v>
      </c>
      <c r="H22" s="49" t="s">
        <v>33</v>
      </c>
      <c r="I22" s="49" t="s">
        <v>97</v>
      </c>
      <c r="J22" s="49">
        <v>0</v>
      </c>
    </row>
    <row r="23" spans="1:10" ht="15.75" customHeight="1" x14ac:dyDescent="0.2">
      <c r="A23" s="60" t="s">
        <v>116</v>
      </c>
      <c r="B23" s="49">
        <v>11.124000000000001</v>
      </c>
      <c r="C23" s="49">
        <v>7.9139999999999997</v>
      </c>
      <c r="D23" s="61">
        <f t="shared" si="0"/>
        <v>19.038</v>
      </c>
      <c r="E23" s="61">
        <v>63.85</v>
      </c>
      <c r="F23" s="62">
        <v>105</v>
      </c>
      <c r="G23" s="49">
        <v>2019</v>
      </c>
      <c r="H23" s="49" t="s">
        <v>33</v>
      </c>
      <c r="I23" s="49" t="s">
        <v>97</v>
      </c>
      <c r="J23" s="49">
        <v>0</v>
      </c>
    </row>
    <row r="24" spans="1:10" ht="15.75" customHeight="1" x14ac:dyDescent="0.2">
      <c r="A24" s="60" t="s">
        <v>117</v>
      </c>
      <c r="B24" s="49">
        <v>11.124000000000001</v>
      </c>
      <c r="C24" s="49">
        <v>7.9139999999999997</v>
      </c>
      <c r="D24" s="61">
        <f t="shared" si="0"/>
        <v>19.038</v>
      </c>
      <c r="E24" s="61">
        <v>63.85</v>
      </c>
      <c r="F24" s="62">
        <v>138</v>
      </c>
      <c r="G24" s="49">
        <v>2019</v>
      </c>
      <c r="H24" s="49" t="s">
        <v>33</v>
      </c>
      <c r="I24" s="49" t="s">
        <v>97</v>
      </c>
      <c r="J24" s="49">
        <v>0</v>
      </c>
    </row>
    <row r="25" spans="1:10" ht="15.75" customHeight="1" x14ac:dyDescent="0.2">
      <c r="A25" s="60" t="s">
        <v>118</v>
      </c>
      <c r="B25" s="49">
        <v>11.124000000000001</v>
      </c>
      <c r="C25" s="49">
        <v>7.9139999999999997</v>
      </c>
      <c r="D25" s="61">
        <f t="shared" si="0"/>
        <v>19.038</v>
      </c>
      <c r="E25" s="61">
        <v>63.85</v>
      </c>
      <c r="F25" s="62">
        <v>138</v>
      </c>
      <c r="G25" s="49">
        <v>2019</v>
      </c>
      <c r="H25" s="49" t="s">
        <v>33</v>
      </c>
      <c r="I25" s="49" t="s">
        <v>97</v>
      </c>
      <c r="J25" s="49">
        <v>0</v>
      </c>
    </row>
    <row r="26" spans="1:10" ht="15.75" customHeight="1" x14ac:dyDescent="0.2">
      <c r="A26" s="60" t="s">
        <v>119</v>
      </c>
      <c r="B26" s="49">
        <v>11.124000000000001</v>
      </c>
      <c r="C26" s="49">
        <v>7.9139999999999997</v>
      </c>
      <c r="D26" s="61">
        <f t="shared" si="0"/>
        <v>19.038</v>
      </c>
      <c r="E26" s="61">
        <v>63.85</v>
      </c>
      <c r="F26" s="62">
        <v>138</v>
      </c>
      <c r="G26" s="49">
        <v>2019</v>
      </c>
      <c r="H26" s="49" t="s">
        <v>33</v>
      </c>
      <c r="I26" s="49" t="s">
        <v>97</v>
      </c>
      <c r="J26" s="49">
        <v>0</v>
      </c>
    </row>
    <row r="27" spans="1:10" ht="15.75" customHeight="1" x14ac:dyDescent="0.2">
      <c r="A27" s="60" t="s">
        <v>120</v>
      </c>
      <c r="B27" s="49">
        <v>11.124000000000001</v>
      </c>
      <c r="C27" s="49">
        <v>7.9139999999999997</v>
      </c>
      <c r="D27" s="61">
        <f t="shared" si="0"/>
        <v>19.038</v>
      </c>
      <c r="E27" s="61">
        <v>63.85</v>
      </c>
      <c r="F27" s="62">
        <v>138</v>
      </c>
      <c r="G27" s="49">
        <v>2020</v>
      </c>
      <c r="H27" s="49" t="s">
        <v>33</v>
      </c>
      <c r="I27" s="49" t="s">
        <v>97</v>
      </c>
      <c r="J27" s="49">
        <v>0</v>
      </c>
    </row>
    <row r="28" spans="1:10" ht="15.75" customHeight="1" x14ac:dyDescent="0.2">
      <c r="A28" s="60" t="s">
        <v>121</v>
      </c>
      <c r="B28" s="49">
        <v>11.124000000000001</v>
      </c>
      <c r="C28" s="49">
        <v>7.9139999999999997</v>
      </c>
      <c r="D28" s="61">
        <f t="shared" si="0"/>
        <v>19.038</v>
      </c>
      <c r="E28" s="61">
        <v>63.85</v>
      </c>
      <c r="F28" s="62">
        <v>134</v>
      </c>
      <c r="G28" s="49">
        <v>2017</v>
      </c>
      <c r="H28" s="49" t="s">
        <v>33</v>
      </c>
      <c r="I28" s="49" t="s">
        <v>97</v>
      </c>
      <c r="J28" s="49">
        <v>0</v>
      </c>
    </row>
    <row r="29" spans="1:10" ht="15.75" customHeight="1" x14ac:dyDescent="0.2">
      <c r="A29" s="60" t="s">
        <v>122</v>
      </c>
      <c r="B29" s="49">
        <v>11.124000000000001</v>
      </c>
      <c r="C29" s="49">
        <v>7.9139999999999997</v>
      </c>
      <c r="D29" s="61">
        <f t="shared" si="0"/>
        <v>19.038</v>
      </c>
      <c r="E29" s="61">
        <v>63.85</v>
      </c>
      <c r="F29" s="62">
        <v>134</v>
      </c>
      <c r="G29" s="49">
        <v>2017</v>
      </c>
      <c r="H29" s="49" t="s">
        <v>33</v>
      </c>
      <c r="I29" s="49" t="s">
        <v>97</v>
      </c>
      <c r="J29" s="49">
        <v>0</v>
      </c>
    </row>
    <row r="30" spans="1:10" ht="15.75" customHeight="1" x14ac:dyDescent="0.2">
      <c r="A30" s="60" t="s">
        <v>123</v>
      </c>
      <c r="B30" s="49">
        <v>11.124000000000001</v>
      </c>
      <c r="C30" s="49">
        <v>7.9139999999999997</v>
      </c>
      <c r="D30" s="61">
        <f t="shared" si="0"/>
        <v>19.038</v>
      </c>
      <c r="E30" s="61">
        <v>63.85</v>
      </c>
      <c r="F30" s="62">
        <v>134</v>
      </c>
      <c r="G30" s="49">
        <v>2018</v>
      </c>
      <c r="H30" s="49" t="s">
        <v>33</v>
      </c>
      <c r="I30" s="49" t="s">
        <v>97</v>
      </c>
      <c r="J30" s="49">
        <v>0</v>
      </c>
    </row>
    <row r="31" spans="1:10" ht="15.75" customHeight="1" x14ac:dyDescent="0.2">
      <c r="A31" s="60" t="s">
        <v>124</v>
      </c>
      <c r="B31" s="49">
        <v>11.124000000000001</v>
      </c>
      <c r="C31" s="49">
        <v>7.9139999999999997</v>
      </c>
      <c r="D31" s="61">
        <f t="shared" si="0"/>
        <v>19.038</v>
      </c>
      <c r="E31" s="61">
        <v>63.85</v>
      </c>
      <c r="F31" s="62">
        <v>134</v>
      </c>
      <c r="G31" s="49">
        <v>2019</v>
      </c>
      <c r="H31" s="49" t="s">
        <v>33</v>
      </c>
      <c r="I31" s="49" t="s">
        <v>97</v>
      </c>
      <c r="J31" s="49">
        <v>0</v>
      </c>
    </row>
    <row r="32" spans="1:10" ht="15.75" customHeight="1" x14ac:dyDescent="0.2">
      <c r="A32" s="60" t="s">
        <v>125</v>
      </c>
      <c r="B32" s="49">
        <v>11.124000000000001</v>
      </c>
      <c r="C32" s="49">
        <v>7.9139999999999997</v>
      </c>
      <c r="D32" s="61">
        <f t="shared" si="0"/>
        <v>19.038</v>
      </c>
      <c r="E32" s="61">
        <v>63.85</v>
      </c>
      <c r="F32" s="62">
        <v>52</v>
      </c>
      <c r="G32" s="49">
        <v>2006</v>
      </c>
      <c r="H32" s="49" t="s">
        <v>33</v>
      </c>
      <c r="I32" s="49" t="s">
        <v>97</v>
      </c>
      <c r="J32" s="49">
        <v>0</v>
      </c>
    </row>
    <row r="33" spans="1:10" ht="15.75" customHeight="1" x14ac:dyDescent="0.2">
      <c r="A33" s="60" t="s">
        <v>126</v>
      </c>
      <c r="B33" s="49">
        <v>11.124000000000001</v>
      </c>
      <c r="C33" s="49">
        <v>7.9139999999999997</v>
      </c>
      <c r="D33" s="61">
        <f t="shared" si="0"/>
        <v>19.038</v>
      </c>
      <c r="E33" s="61">
        <v>63.85</v>
      </c>
      <c r="F33" s="62">
        <v>325.8</v>
      </c>
      <c r="G33" s="49">
        <v>2013</v>
      </c>
      <c r="H33" s="49" t="s">
        <v>33</v>
      </c>
      <c r="I33" s="49" t="s">
        <v>97</v>
      </c>
      <c r="J33" s="49">
        <v>0</v>
      </c>
    </row>
    <row r="34" spans="1:10" ht="15.75" customHeight="1" x14ac:dyDescent="0.2">
      <c r="A34" s="60" t="s">
        <v>127</v>
      </c>
      <c r="B34" s="49">
        <v>11.124000000000001</v>
      </c>
      <c r="C34" s="49">
        <v>7.9139999999999997</v>
      </c>
      <c r="D34" s="61">
        <f t="shared" si="0"/>
        <v>19.038</v>
      </c>
      <c r="E34" s="61">
        <v>63.85</v>
      </c>
      <c r="F34" s="62">
        <v>325.8</v>
      </c>
      <c r="G34" s="49">
        <v>2013</v>
      </c>
      <c r="H34" s="49" t="s">
        <v>33</v>
      </c>
      <c r="I34" s="49" t="s">
        <v>97</v>
      </c>
      <c r="J34" s="49">
        <v>0</v>
      </c>
    </row>
    <row r="35" spans="1:10" ht="15.75" customHeight="1" x14ac:dyDescent="0.2">
      <c r="A35" s="60" t="s">
        <v>128</v>
      </c>
      <c r="B35" s="49">
        <v>11.124000000000001</v>
      </c>
      <c r="C35" s="49">
        <v>7.9139999999999997</v>
      </c>
      <c r="D35" s="61">
        <f t="shared" si="0"/>
        <v>19.038</v>
      </c>
      <c r="E35" s="61">
        <v>63.85</v>
      </c>
      <c r="F35" s="62">
        <v>330</v>
      </c>
      <c r="G35" s="49">
        <v>1998</v>
      </c>
      <c r="H35" s="49" t="s">
        <v>33</v>
      </c>
      <c r="I35" s="49" t="s">
        <v>97</v>
      </c>
      <c r="J35" s="49">
        <v>0</v>
      </c>
    </row>
    <row r="36" spans="1:10" ht="15.75" customHeight="1" x14ac:dyDescent="0.2">
      <c r="A36" s="60" t="s">
        <v>129</v>
      </c>
      <c r="B36" s="49">
        <v>11.124000000000001</v>
      </c>
      <c r="C36" s="49">
        <v>7.9139999999999997</v>
      </c>
      <c r="D36" s="61">
        <f t="shared" si="0"/>
        <v>19.038</v>
      </c>
      <c r="E36" s="61">
        <v>63.85</v>
      </c>
      <c r="F36" s="62">
        <v>344</v>
      </c>
      <c r="G36" s="49">
        <v>1999</v>
      </c>
      <c r="H36" s="49" t="s">
        <v>33</v>
      </c>
      <c r="I36" s="49" t="s">
        <v>97</v>
      </c>
      <c r="J36" s="49">
        <v>0</v>
      </c>
    </row>
    <row r="37" spans="1:10" ht="15.75" customHeight="1" x14ac:dyDescent="0.2">
      <c r="A37" s="60" t="s">
        <v>130</v>
      </c>
      <c r="B37" s="49">
        <v>11.124000000000001</v>
      </c>
      <c r="C37" s="49">
        <v>7.9139999999999997</v>
      </c>
      <c r="D37" s="61">
        <f t="shared" si="0"/>
        <v>19.038</v>
      </c>
      <c r="E37" s="61">
        <v>63.85</v>
      </c>
      <c r="F37" s="62">
        <v>351.8</v>
      </c>
      <c r="G37" s="49">
        <v>2020</v>
      </c>
      <c r="H37" s="49" t="s">
        <v>33</v>
      </c>
      <c r="I37" s="49" t="s">
        <v>97</v>
      </c>
      <c r="J37" s="49">
        <v>0</v>
      </c>
    </row>
    <row r="38" spans="1:10" ht="15.75" customHeight="1" x14ac:dyDescent="0.2">
      <c r="A38" s="60" t="s">
        <v>131</v>
      </c>
      <c r="B38" s="49">
        <v>11.124000000000001</v>
      </c>
      <c r="C38" s="49">
        <v>7.9139999999999997</v>
      </c>
      <c r="D38" s="61">
        <f t="shared" si="0"/>
        <v>19.038</v>
      </c>
      <c r="E38" s="61">
        <v>63.85</v>
      </c>
      <c r="F38" s="62">
        <v>116</v>
      </c>
      <c r="G38" s="49">
        <v>2006</v>
      </c>
      <c r="H38" s="49" t="s">
        <v>33</v>
      </c>
      <c r="I38" s="49" t="s">
        <v>97</v>
      </c>
      <c r="J38" s="49">
        <v>0</v>
      </c>
    </row>
    <row r="39" spans="1:10" ht="15.75" customHeight="1" x14ac:dyDescent="0.2">
      <c r="A39" s="60" t="s">
        <v>132</v>
      </c>
      <c r="B39" s="49">
        <v>11.124000000000001</v>
      </c>
      <c r="C39" s="49">
        <v>7.9139999999999997</v>
      </c>
      <c r="D39" s="61">
        <f t="shared" si="0"/>
        <v>19.038</v>
      </c>
      <c r="E39" s="61">
        <v>63.85</v>
      </c>
      <c r="F39" s="62">
        <v>116</v>
      </c>
      <c r="G39" s="49">
        <v>2006</v>
      </c>
      <c r="H39" s="49" t="s">
        <v>33</v>
      </c>
      <c r="I39" s="49" t="s">
        <v>97</v>
      </c>
      <c r="J39" s="49">
        <v>0</v>
      </c>
    </row>
    <row r="40" spans="1:10" ht="15.75" customHeight="1" x14ac:dyDescent="0.2">
      <c r="A40" s="60" t="s">
        <v>133</v>
      </c>
      <c r="B40" s="49">
        <v>11.124000000000001</v>
      </c>
      <c r="C40" s="49">
        <v>7.9139999999999997</v>
      </c>
      <c r="D40" s="61">
        <f t="shared" si="0"/>
        <v>19.038</v>
      </c>
      <c r="E40" s="61">
        <v>63.85</v>
      </c>
      <c r="F40" s="62">
        <v>135</v>
      </c>
      <c r="G40" s="49">
        <v>2016</v>
      </c>
      <c r="H40" s="49" t="s">
        <v>33</v>
      </c>
      <c r="I40" s="49" t="s">
        <v>97</v>
      </c>
      <c r="J40" s="49">
        <v>0</v>
      </c>
    </row>
    <row r="41" spans="1:10" ht="15.75" customHeight="1" x14ac:dyDescent="0.2">
      <c r="A41" s="60" t="s">
        <v>134</v>
      </c>
      <c r="B41" s="49">
        <v>11.124000000000001</v>
      </c>
      <c r="C41" s="49">
        <v>7.9139999999999997</v>
      </c>
      <c r="D41" s="61">
        <f t="shared" si="0"/>
        <v>19.038</v>
      </c>
      <c r="E41" s="61">
        <v>63.85</v>
      </c>
      <c r="F41" s="62">
        <v>135</v>
      </c>
      <c r="G41" s="49">
        <v>2016</v>
      </c>
      <c r="H41" s="49" t="s">
        <v>33</v>
      </c>
      <c r="I41" s="49" t="s">
        <v>97</v>
      </c>
      <c r="J41" s="49">
        <v>0</v>
      </c>
    </row>
    <row r="42" spans="1:10" ht="15.75" customHeight="1" x14ac:dyDescent="0.2">
      <c r="A42" s="60" t="s">
        <v>135</v>
      </c>
      <c r="B42" s="49">
        <v>11.124000000000001</v>
      </c>
      <c r="C42" s="49">
        <v>7.9139999999999997</v>
      </c>
      <c r="D42" s="61">
        <f t="shared" si="0"/>
        <v>19.038</v>
      </c>
      <c r="E42" s="61">
        <v>63.85</v>
      </c>
      <c r="F42" s="62">
        <v>135</v>
      </c>
      <c r="G42" s="49">
        <v>2016</v>
      </c>
      <c r="H42" s="49" t="s">
        <v>33</v>
      </c>
      <c r="I42" s="49" t="s">
        <v>97</v>
      </c>
      <c r="J42" s="49">
        <v>0</v>
      </c>
    </row>
    <row r="43" spans="1:10" ht="15.75" customHeight="1" x14ac:dyDescent="0.2">
      <c r="A43" s="60" t="s">
        <v>136</v>
      </c>
      <c r="B43" s="49">
        <v>11.124000000000001</v>
      </c>
      <c r="C43" s="49">
        <v>7.9139999999999997</v>
      </c>
      <c r="D43" s="61">
        <f t="shared" si="0"/>
        <v>19.038</v>
      </c>
      <c r="E43" s="61">
        <v>63.85</v>
      </c>
      <c r="F43" s="62">
        <v>110.5</v>
      </c>
      <c r="G43" s="49">
        <v>2010</v>
      </c>
      <c r="H43" s="49" t="s">
        <v>33</v>
      </c>
      <c r="I43" s="49" t="s">
        <v>97</v>
      </c>
      <c r="J43" s="49">
        <v>0</v>
      </c>
    </row>
    <row r="44" spans="1:10" ht="15.75" customHeight="1" x14ac:dyDescent="0.2">
      <c r="A44" s="60" t="s">
        <v>137</v>
      </c>
      <c r="B44" s="49">
        <v>11.124000000000001</v>
      </c>
      <c r="C44" s="49">
        <v>7.9139999999999997</v>
      </c>
      <c r="D44" s="61">
        <f t="shared" si="0"/>
        <v>19.038</v>
      </c>
      <c r="E44" s="61">
        <v>63.85</v>
      </c>
      <c r="F44" s="62">
        <v>110.5</v>
      </c>
      <c r="G44" s="49">
        <v>2011</v>
      </c>
      <c r="H44" s="49" t="s">
        <v>33</v>
      </c>
      <c r="I44" s="49" t="s">
        <v>97</v>
      </c>
      <c r="J44" s="49">
        <v>0</v>
      </c>
    </row>
    <row r="45" spans="1:10" ht="15.75" customHeight="1" x14ac:dyDescent="0.2">
      <c r="A45" s="60" t="s">
        <v>138</v>
      </c>
      <c r="B45" s="49">
        <v>11.124000000000001</v>
      </c>
      <c r="C45" s="49">
        <v>7.9139999999999997</v>
      </c>
      <c r="D45" s="61">
        <f t="shared" si="0"/>
        <v>19.038</v>
      </c>
      <c r="E45" s="61">
        <v>63.85</v>
      </c>
      <c r="F45" s="62">
        <v>367.5</v>
      </c>
      <c r="G45" s="49">
        <v>1996</v>
      </c>
      <c r="H45" s="49" t="s">
        <v>33</v>
      </c>
      <c r="I45" s="49" t="s">
        <v>97</v>
      </c>
      <c r="J45" s="49">
        <v>0</v>
      </c>
    </row>
    <row r="46" spans="1:10" ht="15.75" customHeight="1" x14ac:dyDescent="0.2">
      <c r="A46" s="60" t="s">
        <v>139</v>
      </c>
      <c r="B46" s="49">
        <v>11.124000000000001</v>
      </c>
      <c r="C46" s="49">
        <v>7.9139999999999997</v>
      </c>
      <c r="D46" s="61">
        <f t="shared" si="0"/>
        <v>19.038</v>
      </c>
      <c r="E46" s="61">
        <v>63.85</v>
      </c>
      <c r="F46" s="62">
        <v>367.5</v>
      </c>
      <c r="G46" s="49">
        <v>1996</v>
      </c>
      <c r="H46" s="49" t="s">
        <v>33</v>
      </c>
      <c r="I46" s="49" t="s">
        <v>97</v>
      </c>
      <c r="J46" s="49">
        <v>0</v>
      </c>
    </row>
    <row r="47" spans="1:10" ht="15.75" customHeight="1" x14ac:dyDescent="0.2">
      <c r="A47" s="60" t="s">
        <v>140</v>
      </c>
      <c r="B47" s="49">
        <v>11.124000000000001</v>
      </c>
      <c r="C47" s="49">
        <v>7.9139999999999997</v>
      </c>
      <c r="D47" s="61">
        <f t="shared" si="0"/>
        <v>19.038</v>
      </c>
      <c r="E47" s="61">
        <v>63.85</v>
      </c>
      <c r="F47" s="62">
        <v>420</v>
      </c>
      <c r="G47" s="49">
        <v>2018</v>
      </c>
      <c r="H47" s="49" t="s">
        <v>33</v>
      </c>
      <c r="I47" s="49" t="s">
        <v>97</v>
      </c>
      <c r="J47" s="49">
        <v>0</v>
      </c>
    </row>
    <row r="48" spans="1:10" ht="15.75" customHeight="1" x14ac:dyDescent="0.2">
      <c r="A48" s="60" t="s">
        <v>141</v>
      </c>
      <c r="B48" s="49">
        <v>11.124000000000001</v>
      </c>
      <c r="C48" s="49">
        <v>7.9139999999999997</v>
      </c>
      <c r="D48" s="61">
        <f t="shared" si="0"/>
        <v>19.038</v>
      </c>
      <c r="E48" s="61">
        <v>63.85</v>
      </c>
      <c r="F48" s="62">
        <v>82</v>
      </c>
      <c r="G48" s="49">
        <v>2010</v>
      </c>
      <c r="H48" s="49" t="s">
        <v>33</v>
      </c>
      <c r="I48" s="49" t="s">
        <v>97</v>
      </c>
      <c r="J48" s="49">
        <v>0</v>
      </c>
    </row>
    <row r="49" spans="1:10" ht="15.75" customHeight="1" x14ac:dyDescent="0.2">
      <c r="A49" s="60" t="s">
        <v>142</v>
      </c>
      <c r="B49" s="49">
        <v>11.124000000000001</v>
      </c>
      <c r="C49" s="49">
        <v>7.9139999999999997</v>
      </c>
      <c r="D49" s="61">
        <f t="shared" si="0"/>
        <v>19.038</v>
      </c>
      <c r="E49" s="61">
        <v>63.85</v>
      </c>
      <c r="F49" s="62">
        <v>82</v>
      </c>
      <c r="G49" s="49">
        <v>2011</v>
      </c>
      <c r="H49" s="49" t="s">
        <v>33</v>
      </c>
      <c r="I49" s="49" t="s">
        <v>97</v>
      </c>
      <c r="J49" s="49">
        <v>0</v>
      </c>
    </row>
    <row r="50" spans="1:10" ht="15.75" customHeight="1" x14ac:dyDescent="0.2">
      <c r="A50" s="60" t="s">
        <v>143</v>
      </c>
      <c r="B50" s="49">
        <v>11.124000000000001</v>
      </c>
      <c r="C50" s="49">
        <v>7.9139999999999997</v>
      </c>
      <c r="D50" s="61">
        <f t="shared" si="0"/>
        <v>19.038</v>
      </c>
      <c r="E50" s="61">
        <v>63.85</v>
      </c>
      <c r="F50" s="62">
        <v>150</v>
      </c>
      <c r="G50" s="49">
        <v>2016</v>
      </c>
      <c r="H50" s="49" t="s">
        <v>33</v>
      </c>
      <c r="I50" s="49" t="s">
        <v>97</v>
      </c>
      <c r="J50" s="49">
        <v>0</v>
      </c>
    </row>
    <row r="51" spans="1:10" ht="15.75" customHeight="1" x14ac:dyDescent="0.2">
      <c r="A51" s="60" t="s">
        <v>144</v>
      </c>
      <c r="B51" s="49">
        <v>11.124000000000001</v>
      </c>
      <c r="C51" s="49">
        <v>7.9139999999999997</v>
      </c>
      <c r="D51" s="61">
        <f t="shared" si="0"/>
        <v>19.038</v>
      </c>
      <c r="E51" s="61">
        <v>63.85</v>
      </c>
      <c r="F51" s="62">
        <v>35</v>
      </c>
      <c r="G51" s="49">
        <v>2013</v>
      </c>
      <c r="H51" s="49" t="s">
        <v>33</v>
      </c>
      <c r="I51" s="49" t="s">
        <v>97</v>
      </c>
      <c r="J51" s="49">
        <v>0</v>
      </c>
    </row>
    <row r="52" spans="1:10" ht="15.75" customHeight="1" x14ac:dyDescent="0.2">
      <c r="A52" s="60" t="s">
        <v>145</v>
      </c>
      <c r="B52" s="49">
        <v>11.124000000000001</v>
      </c>
      <c r="C52" s="49">
        <v>7.9139999999999997</v>
      </c>
      <c r="D52" s="61">
        <f t="shared" si="0"/>
        <v>19.038</v>
      </c>
      <c r="E52" s="61">
        <v>63.85</v>
      </c>
      <c r="F52" s="62">
        <v>35</v>
      </c>
      <c r="G52" s="49">
        <v>2013</v>
      </c>
      <c r="H52" s="49" t="s">
        <v>33</v>
      </c>
      <c r="I52" s="49" t="s">
        <v>97</v>
      </c>
      <c r="J52" s="49">
        <v>0</v>
      </c>
    </row>
    <row r="53" spans="1:10" ht="15.75" customHeight="1" x14ac:dyDescent="0.2">
      <c r="A53" s="60" t="s">
        <v>146</v>
      </c>
      <c r="B53" s="49">
        <v>11.124000000000001</v>
      </c>
      <c r="C53" s="49">
        <v>7.9139999999999997</v>
      </c>
      <c r="D53" s="61">
        <f t="shared" si="0"/>
        <v>19.038</v>
      </c>
      <c r="E53" s="61">
        <v>63.85</v>
      </c>
      <c r="F53" s="62">
        <v>35</v>
      </c>
      <c r="G53" s="49">
        <v>2013</v>
      </c>
      <c r="H53" s="49" t="s">
        <v>33</v>
      </c>
      <c r="I53" s="49" t="s">
        <v>97</v>
      </c>
      <c r="J53" s="49">
        <v>0</v>
      </c>
    </row>
    <row r="54" spans="1:10" ht="15.75" customHeight="1" x14ac:dyDescent="0.2">
      <c r="A54" s="60" t="s">
        <v>147</v>
      </c>
      <c r="B54" s="49">
        <v>11.124000000000001</v>
      </c>
      <c r="C54" s="49">
        <v>7.9139999999999997</v>
      </c>
      <c r="D54" s="61">
        <f t="shared" si="0"/>
        <v>19.038</v>
      </c>
      <c r="E54" s="61">
        <v>63.85</v>
      </c>
      <c r="F54" s="62">
        <v>35</v>
      </c>
      <c r="G54" s="49">
        <v>2013</v>
      </c>
      <c r="H54" s="49" t="s">
        <v>33</v>
      </c>
      <c r="I54" s="49" t="s">
        <v>97</v>
      </c>
      <c r="J54" s="49">
        <v>0</v>
      </c>
    </row>
    <row r="55" spans="1:10" ht="15.75" customHeight="1" x14ac:dyDescent="0.2">
      <c r="A55" s="60" t="s">
        <v>148</v>
      </c>
      <c r="B55" s="49">
        <v>11.124000000000001</v>
      </c>
      <c r="C55" s="49">
        <v>7.9139999999999997</v>
      </c>
      <c r="D55" s="61">
        <f t="shared" si="0"/>
        <v>19.038</v>
      </c>
      <c r="E55" s="61">
        <v>63.85</v>
      </c>
      <c r="F55" s="62">
        <v>135</v>
      </c>
      <c r="G55" s="49">
        <v>2015</v>
      </c>
      <c r="H55" s="49" t="s">
        <v>33</v>
      </c>
      <c r="I55" s="49" t="s">
        <v>97</v>
      </c>
      <c r="J55" s="49">
        <v>0</v>
      </c>
    </row>
    <row r="56" spans="1:10" ht="15.75" customHeight="1" x14ac:dyDescent="0.2">
      <c r="A56" s="60" t="s">
        <v>149</v>
      </c>
      <c r="B56" s="49">
        <v>11.124000000000001</v>
      </c>
      <c r="C56" s="49">
        <v>7.9139999999999997</v>
      </c>
      <c r="D56" s="61">
        <f t="shared" si="0"/>
        <v>19.038</v>
      </c>
      <c r="E56" s="61">
        <v>63.85</v>
      </c>
      <c r="F56" s="62">
        <v>135</v>
      </c>
      <c r="G56" s="49">
        <v>2016</v>
      </c>
      <c r="H56" s="49" t="s">
        <v>33</v>
      </c>
      <c r="I56" s="49" t="s">
        <v>97</v>
      </c>
      <c r="J56" s="49">
        <v>0</v>
      </c>
    </row>
    <row r="57" spans="1:10" ht="15.75" customHeight="1" x14ac:dyDescent="0.2">
      <c r="A57" s="60" t="s">
        <v>150</v>
      </c>
      <c r="B57" s="49">
        <v>11.124000000000001</v>
      </c>
      <c r="C57" s="49">
        <v>7.9139999999999997</v>
      </c>
      <c r="D57" s="61">
        <f t="shared" si="0"/>
        <v>19.038</v>
      </c>
      <c r="E57" s="61">
        <v>63.85</v>
      </c>
      <c r="F57" s="62">
        <v>538</v>
      </c>
      <c r="G57" s="49">
        <v>2000</v>
      </c>
      <c r="H57" s="49" t="s">
        <v>33</v>
      </c>
      <c r="I57" s="49" t="s">
        <v>97</v>
      </c>
      <c r="J57" s="49">
        <v>0</v>
      </c>
    </row>
    <row r="58" spans="1:10" ht="15.75" customHeight="1" x14ac:dyDescent="0.2">
      <c r="A58" s="60" t="s">
        <v>151</v>
      </c>
      <c r="B58" s="49">
        <v>11.124000000000001</v>
      </c>
      <c r="C58" s="49">
        <v>7.9139999999999997</v>
      </c>
      <c r="D58" s="61">
        <f t="shared" si="0"/>
        <v>19.038</v>
      </c>
      <c r="E58" s="61">
        <v>63.85</v>
      </c>
      <c r="F58" s="62">
        <v>528</v>
      </c>
      <c r="G58" s="49">
        <v>2019</v>
      </c>
      <c r="H58" s="49" t="s">
        <v>33</v>
      </c>
      <c r="I58" s="49" t="s">
        <v>97</v>
      </c>
      <c r="J58" s="49">
        <v>0</v>
      </c>
    </row>
    <row r="59" spans="1:10" ht="15.75" customHeight="1" x14ac:dyDescent="0.2">
      <c r="A59" s="60" t="s">
        <v>152</v>
      </c>
      <c r="B59" s="49">
        <v>11.124000000000001</v>
      </c>
      <c r="C59" s="49">
        <v>7.9139999999999997</v>
      </c>
      <c r="D59" s="61">
        <f t="shared" si="0"/>
        <v>19.038</v>
      </c>
      <c r="E59" s="61">
        <v>63.85</v>
      </c>
      <c r="F59" s="62">
        <v>150</v>
      </c>
      <c r="G59" s="49">
        <v>2024</v>
      </c>
      <c r="H59" s="49" t="s">
        <v>33</v>
      </c>
      <c r="I59" s="49" t="s">
        <v>97</v>
      </c>
      <c r="J59" s="49">
        <v>0</v>
      </c>
    </row>
    <row r="60" spans="1:10" ht="15.75" customHeight="1" x14ac:dyDescent="0.2">
      <c r="A60" s="60" t="s">
        <v>153</v>
      </c>
      <c r="B60" s="49">
        <v>11.124000000000001</v>
      </c>
      <c r="C60" s="49">
        <v>7.9139999999999997</v>
      </c>
      <c r="D60" s="61">
        <f t="shared" si="0"/>
        <v>19.038</v>
      </c>
      <c r="E60" s="61">
        <v>63.85</v>
      </c>
      <c r="F60" s="62">
        <v>150</v>
      </c>
      <c r="G60" s="49">
        <v>2024</v>
      </c>
      <c r="H60" s="49" t="s">
        <v>33</v>
      </c>
      <c r="I60" s="49" t="s">
        <v>97</v>
      </c>
      <c r="J60" s="49">
        <v>0</v>
      </c>
    </row>
    <row r="61" spans="1:10" ht="15.75" customHeight="1" x14ac:dyDescent="0.2">
      <c r="A61" s="60" t="s">
        <v>154</v>
      </c>
      <c r="B61" s="49">
        <v>11.124000000000001</v>
      </c>
      <c r="C61" s="49">
        <v>7.9139999999999997</v>
      </c>
      <c r="D61" s="61">
        <f t="shared" si="0"/>
        <v>19.038</v>
      </c>
      <c r="E61" s="61">
        <v>63.85</v>
      </c>
      <c r="F61" s="62">
        <v>150</v>
      </c>
      <c r="G61" s="49">
        <v>2024</v>
      </c>
      <c r="H61" s="49" t="s">
        <v>33</v>
      </c>
      <c r="I61" s="49" t="s">
        <v>97</v>
      </c>
      <c r="J61" s="49">
        <v>0</v>
      </c>
    </row>
    <row r="62" spans="1:10" ht="15.75" customHeight="1" x14ac:dyDescent="0.2">
      <c r="A62" s="60" t="s">
        <v>155</v>
      </c>
      <c r="B62" s="49">
        <v>11.124000000000001</v>
      </c>
      <c r="C62" s="49">
        <v>7.9139999999999997</v>
      </c>
      <c r="D62" s="61">
        <f t="shared" si="0"/>
        <v>19.038</v>
      </c>
      <c r="E62" s="61">
        <v>63.85</v>
      </c>
      <c r="F62" s="62">
        <v>150</v>
      </c>
      <c r="G62" s="49">
        <v>2025</v>
      </c>
      <c r="H62" s="49" t="s">
        <v>33</v>
      </c>
      <c r="I62" s="49" t="s">
        <v>97</v>
      </c>
      <c r="J62" s="49">
        <v>0</v>
      </c>
    </row>
    <row r="63" spans="1:10" ht="15.75" customHeight="1" x14ac:dyDescent="0.2">
      <c r="A63" s="60" t="s">
        <v>156</v>
      </c>
      <c r="B63" s="49">
        <v>11.124000000000001</v>
      </c>
      <c r="C63" s="49">
        <v>7.9139999999999997</v>
      </c>
      <c r="D63" s="61">
        <f t="shared" si="0"/>
        <v>19.038</v>
      </c>
      <c r="E63" s="61">
        <v>63.85</v>
      </c>
      <c r="F63" s="62">
        <v>647</v>
      </c>
      <c r="G63" s="49">
        <v>1999</v>
      </c>
      <c r="H63" s="49" t="s">
        <v>33</v>
      </c>
      <c r="I63" s="49" t="s">
        <v>97</v>
      </c>
      <c r="J63" s="49">
        <v>0</v>
      </c>
    </row>
    <row r="64" spans="1:10" ht="15.75" customHeight="1" x14ac:dyDescent="0.2">
      <c r="A64" s="60" t="s">
        <v>157</v>
      </c>
      <c r="B64" s="49">
        <v>11.124000000000001</v>
      </c>
      <c r="C64" s="49">
        <v>7.9139999999999997</v>
      </c>
      <c r="D64" s="61">
        <f t="shared" si="0"/>
        <v>19.038</v>
      </c>
      <c r="E64" s="61">
        <v>63.85</v>
      </c>
      <c r="F64" s="62">
        <v>647</v>
      </c>
      <c r="G64" s="49">
        <v>1999</v>
      </c>
      <c r="H64" s="49" t="s">
        <v>33</v>
      </c>
      <c r="I64" s="49" t="s">
        <v>97</v>
      </c>
      <c r="J64" s="49">
        <v>0</v>
      </c>
    </row>
    <row r="65" spans="1:10" ht="15.75" customHeight="1" x14ac:dyDescent="0.2">
      <c r="A65" s="60" t="s">
        <v>158</v>
      </c>
      <c r="B65" s="49">
        <v>11.124000000000001</v>
      </c>
      <c r="C65" s="49">
        <v>7.9139999999999997</v>
      </c>
      <c r="D65" s="61">
        <f t="shared" si="0"/>
        <v>19.038</v>
      </c>
      <c r="E65" s="61">
        <v>63.85</v>
      </c>
      <c r="F65" s="62">
        <v>170</v>
      </c>
      <c r="G65" s="49">
        <v>2019</v>
      </c>
      <c r="H65" s="49" t="s">
        <v>33</v>
      </c>
      <c r="I65" s="49" t="s">
        <v>97</v>
      </c>
      <c r="J65" s="49">
        <v>0</v>
      </c>
    </row>
    <row r="66" spans="1:10" ht="15.75" customHeight="1" x14ac:dyDescent="0.2">
      <c r="A66" s="60" t="s">
        <v>159</v>
      </c>
      <c r="B66" s="49">
        <v>11.124000000000001</v>
      </c>
      <c r="C66" s="49">
        <v>7.9139999999999997</v>
      </c>
      <c r="D66" s="61">
        <f t="shared" si="0"/>
        <v>19.038</v>
      </c>
      <c r="E66" s="61">
        <v>63.85</v>
      </c>
      <c r="F66" s="62">
        <v>170</v>
      </c>
      <c r="G66" s="49">
        <v>2019</v>
      </c>
      <c r="H66" s="49" t="s">
        <v>33</v>
      </c>
      <c r="I66" s="49" t="s">
        <v>97</v>
      </c>
      <c r="J66" s="49">
        <v>0</v>
      </c>
    </row>
    <row r="67" spans="1:10" ht="15.75" customHeight="1" x14ac:dyDescent="0.2">
      <c r="A67" s="60" t="s">
        <v>160</v>
      </c>
      <c r="B67" s="49">
        <v>11.124000000000001</v>
      </c>
      <c r="C67" s="49">
        <v>7.9139999999999997</v>
      </c>
      <c r="D67" s="61">
        <f t="shared" si="0"/>
        <v>19.038</v>
      </c>
      <c r="E67" s="61">
        <v>63.85</v>
      </c>
      <c r="F67" s="62">
        <v>82</v>
      </c>
      <c r="G67" s="49">
        <v>2014</v>
      </c>
      <c r="H67" s="49" t="s">
        <v>33</v>
      </c>
      <c r="I67" s="49" t="s">
        <v>97</v>
      </c>
      <c r="J67" s="49">
        <v>0</v>
      </c>
    </row>
    <row r="68" spans="1:10" ht="15.75" customHeight="1" x14ac:dyDescent="0.2">
      <c r="A68" s="60" t="s">
        <v>161</v>
      </c>
      <c r="B68" s="49">
        <v>11.124000000000001</v>
      </c>
      <c r="C68" s="49">
        <v>7.9139999999999997</v>
      </c>
      <c r="D68" s="61">
        <f t="shared" si="0"/>
        <v>19.038</v>
      </c>
      <c r="E68" s="61">
        <v>63.85</v>
      </c>
      <c r="F68" s="62">
        <v>30</v>
      </c>
      <c r="G68" s="49">
        <v>1998</v>
      </c>
      <c r="H68" s="49" t="s">
        <v>33</v>
      </c>
      <c r="I68" s="49" t="s">
        <v>97</v>
      </c>
      <c r="J68" s="49">
        <v>0</v>
      </c>
    </row>
    <row r="69" spans="1:10" ht="15.75" customHeight="1" x14ac:dyDescent="0.2">
      <c r="A69" s="60" t="s">
        <v>162</v>
      </c>
      <c r="B69" s="49">
        <v>59.363999999999997</v>
      </c>
      <c r="C69" s="49">
        <v>7.9139999999999997</v>
      </c>
      <c r="D69" s="61">
        <f t="shared" si="0"/>
        <v>67.277999999999992</v>
      </c>
      <c r="E69" s="61">
        <v>63.85</v>
      </c>
      <c r="F69" s="62">
        <v>270</v>
      </c>
      <c r="G69" s="62">
        <v>2008</v>
      </c>
      <c r="H69" s="49" t="s">
        <v>39</v>
      </c>
      <c r="I69" s="49" t="s">
        <v>163</v>
      </c>
      <c r="J69" s="49">
        <v>0</v>
      </c>
    </row>
    <row r="70" spans="1:10" ht="15.75" customHeight="1" x14ac:dyDescent="0.2">
      <c r="A70" s="60" t="s">
        <v>164</v>
      </c>
      <c r="B70" s="49">
        <v>59.363999999999997</v>
      </c>
      <c r="C70" s="49">
        <v>7.9139999999999997</v>
      </c>
      <c r="D70" s="61">
        <f t="shared" si="0"/>
        <v>67.277999999999992</v>
      </c>
      <c r="E70" s="61">
        <v>63.85</v>
      </c>
      <c r="F70" s="62">
        <v>270</v>
      </c>
      <c r="G70" s="62">
        <v>2008</v>
      </c>
      <c r="H70" s="49" t="s">
        <v>39</v>
      </c>
      <c r="I70" s="49" t="s">
        <v>163</v>
      </c>
      <c r="J70" s="49">
        <v>0</v>
      </c>
    </row>
    <row r="71" spans="1:10" ht="15.75" customHeight="1" x14ac:dyDescent="0.2">
      <c r="A71" s="60" t="s">
        <v>165</v>
      </c>
      <c r="B71" s="49">
        <v>59.363999999999997</v>
      </c>
      <c r="C71" s="49">
        <v>7.9139999999999997</v>
      </c>
      <c r="D71" s="61">
        <f t="shared" si="0"/>
        <v>67.277999999999992</v>
      </c>
      <c r="E71" s="61">
        <v>63.85</v>
      </c>
      <c r="F71" s="62">
        <v>437.5</v>
      </c>
      <c r="G71" s="62">
        <v>2025</v>
      </c>
      <c r="H71" s="49" t="s">
        <v>39</v>
      </c>
      <c r="I71" s="49" t="s">
        <v>163</v>
      </c>
      <c r="J71" s="49">
        <v>0</v>
      </c>
    </row>
    <row r="72" spans="1:10" ht="15.75" customHeight="1" x14ac:dyDescent="0.2">
      <c r="A72" s="60" t="s">
        <v>166</v>
      </c>
      <c r="B72" s="49">
        <v>59.363999999999997</v>
      </c>
      <c r="C72" s="49">
        <v>7.9139999999999997</v>
      </c>
      <c r="D72" s="61">
        <f t="shared" si="0"/>
        <v>67.277999999999992</v>
      </c>
      <c r="E72" s="61">
        <v>63.85</v>
      </c>
      <c r="F72" s="62">
        <v>437.5</v>
      </c>
      <c r="G72" s="62">
        <v>2025</v>
      </c>
      <c r="H72" s="49" t="s">
        <v>39</v>
      </c>
      <c r="I72" s="49" t="s">
        <v>163</v>
      </c>
      <c r="J72" s="49">
        <v>0</v>
      </c>
    </row>
    <row r="73" spans="1:10" ht="15.75" customHeight="1" x14ac:dyDescent="0.2">
      <c r="A73" s="60" t="s">
        <v>167</v>
      </c>
      <c r="B73" s="49">
        <v>59.363999999999997</v>
      </c>
      <c r="C73" s="49">
        <v>7.9139999999999997</v>
      </c>
      <c r="D73" s="61">
        <f t="shared" si="0"/>
        <v>67.277999999999992</v>
      </c>
      <c r="E73" s="61">
        <v>63.85</v>
      </c>
      <c r="F73" s="62">
        <v>235.2</v>
      </c>
      <c r="G73" s="62">
        <v>1994</v>
      </c>
      <c r="H73" s="49" t="s">
        <v>39</v>
      </c>
      <c r="I73" s="49" t="s">
        <v>163</v>
      </c>
      <c r="J73" s="49">
        <v>0</v>
      </c>
    </row>
    <row r="74" spans="1:10" ht="15.75" customHeight="1" x14ac:dyDescent="0.2">
      <c r="A74" s="60" t="s">
        <v>168</v>
      </c>
      <c r="B74" s="49">
        <v>59.363999999999997</v>
      </c>
      <c r="C74" s="49">
        <v>7.9139999999999997</v>
      </c>
      <c r="D74" s="61">
        <f t="shared" si="0"/>
        <v>67.277999999999992</v>
      </c>
      <c r="E74" s="61">
        <v>63.85</v>
      </c>
      <c r="F74" s="62">
        <v>113.4</v>
      </c>
      <c r="G74" s="62">
        <v>2013</v>
      </c>
      <c r="H74" s="49" t="s">
        <v>39</v>
      </c>
      <c r="I74" s="49" t="s">
        <v>163</v>
      </c>
      <c r="J74" s="49">
        <v>0</v>
      </c>
    </row>
    <row r="75" spans="1:10" ht="15.75" customHeight="1" x14ac:dyDescent="0.2">
      <c r="A75" s="60" t="s">
        <v>169</v>
      </c>
      <c r="B75" s="49">
        <v>59.363999999999997</v>
      </c>
      <c r="C75" s="49">
        <v>7.9139999999999997</v>
      </c>
      <c r="D75" s="61">
        <f t="shared" si="0"/>
        <v>67.277999999999992</v>
      </c>
      <c r="E75" s="61">
        <v>63.85</v>
      </c>
      <c r="F75" s="62">
        <v>625.5</v>
      </c>
      <c r="G75" s="62">
        <v>2002</v>
      </c>
      <c r="H75" s="49" t="s">
        <v>39</v>
      </c>
      <c r="I75" s="49" t="s">
        <v>163</v>
      </c>
      <c r="J75" s="49">
        <v>0</v>
      </c>
    </row>
    <row r="76" spans="1:10" ht="15.75" customHeight="1" x14ac:dyDescent="0.2">
      <c r="A76" s="60" t="s">
        <v>170</v>
      </c>
      <c r="B76" s="49">
        <v>59.363999999999997</v>
      </c>
      <c r="C76" s="49">
        <v>7.9139999999999997</v>
      </c>
      <c r="D76" s="61">
        <f t="shared" si="0"/>
        <v>67.277999999999992</v>
      </c>
      <c r="E76" s="61">
        <v>63.85</v>
      </c>
      <c r="F76" s="62">
        <v>625.5</v>
      </c>
      <c r="G76" s="62">
        <v>2002</v>
      </c>
      <c r="H76" s="49" t="s">
        <v>39</v>
      </c>
      <c r="I76" s="49" t="s">
        <v>163</v>
      </c>
      <c r="J76" s="49">
        <v>0</v>
      </c>
    </row>
    <row r="77" spans="1:10" ht="15.75" customHeight="1" x14ac:dyDescent="0.2">
      <c r="A77" s="60" t="s">
        <v>171</v>
      </c>
      <c r="B77" s="49">
        <v>59.363999999999997</v>
      </c>
      <c r="C77" s="49">
        <v>7.9139999999999997</v>
      </c>
      <c r="D77" s="61">
        <f t="shared" si="0"/>
        <v>67.277999999999992</v>
      </c>
      <c r="E77" s="61">
        <v>63.85</v>
      </c>
      <c r="F77" s="62">
        <v>150.69999999999999</v>
      </c>
      <c r="G77" s="62">
        <v>2021</v>
      </c>
      <c r="H77" s="49" t="s">
        <v>39</v>
      </c>
      <c r="I77" s="49" t="s">
        <v>163</v>
      </c>
      <c r="J77" s="49">
        <v>0</v>
      </c>
    </row>
    <row r="78" spans="1:10" ht="15.75" customHeight="1" x14ac:dyDescent="0.2">
      <c r="A78" s="60" t="s">
        <v>172</v>
      </c>
      <c r="B78" s="49">
        <v>59.363999999999997</v>
      </c>
      <c r="C78" s="49">
        <v>7.9139999999999997</v>
      </c>
      <c r="D78" s="61">
        <f t="shared" si="0"/>
        <v>67.277999999999992</v>
      </c>
      <c r="E78" s="61">
        <v>63.85</v>
      </c>
      <c r="F78" s="62">
        <v>325</v>
      </c>
      <c r="G78" s="62">
        <v>1975</v>
      </c>
      <c r="H78" s="49" t="s">
        <v>39</v>
      </c>
      <c r="I78" s="49" t="s">
        <v>163</v>
      </c>
      <c r="J78" s="49">
        <v>0</v>
      </c>
    </row>
    <row r="79" spans="1:10" ht="15.75" customHeight="1" x14ac:dyDescent="0.2">
      <c r="A79" s="60" t="s">
        <v>173</v>
      </c>
      <c r="B79" s="49">
        <v>59.363999999999997</v>
      </c>
      <c r="C79" s="49">
        <v>7.9139999999999997</v>
      </c>
      <c r="D79" s="61">
        <f t="shared" si="0"/>
        <v>67.277999999999992</v>
      </c>
      <c r="E79" s="61">
        <v>63.85</v>
      </c>
      <c r="F79" s="62">
        <v>325</v>
      </c>
      <c r="G79" s="62">
        <v>1975</v>
      </c>
      <c r="H79" s="49" t="s">
        <v>39</v>
      </c>
      <c r="I79" s="49" t="s">
        <v>163</v>
      </c>
      <c r="J79" s="49">
        <v>0</v>
      </c>
    </row>
    <row r="80" spans="1:10" ht="15.75" customHeight="1" x14ac:dyDescent="0.2">
      <c r="A80" s="60" t="s">
        <v>174</v>
      </c>
      <c r="B80" s="49">
        <v>59.363999999999997</v>
      </c>
      <c r="C80" s="49">
        <v>7.9139999999999997</v>
      </c>
      <c r="D80" s="61">
        <f t="shared" si="0"/>
        <v>67.277999999999992</v>
      </c>
      <c r="E80" s="61">
        <v>63.85</v>
      </c>
      <c r="F80" s="62">
        <v>100</v>
      </c>
      <c r="G80" s="62">
        <v>2015</v>
      </c>
      <c r="H80" s="49" t="s">
        <v>39</v>
      </c>
      <c r="I80" s="49" t="s">
        <v>163</v>
      </c>
      <c r="J80" s="49">
        <v>0</v>
      </c>
    </row>
    <row r="81" spans="1:10" ht="15.75" customHeight="1" x14ac:dyDescent="0.2">
      <c r="A81" s="60" t="s">
        <v>175</v>
      </c>
      <c r="B81" s="49">
        <v>59.363999999999997</v>
      </c>
      <c r="C81" s="49">
        <v>7.9139999999999997</v>
      </c>
      <c r="D81" s="61">
        <f t="shared" si="0"/>
        <v>67.277999999999992</v>
      </c>
      <c r="E81" s="61">
        <v>63.85</v>
      </c>
      <c r="F81" s="62">
        <v>420</v>
      </c>
      <c r="G81" s="62">
        <v>2016</v>
      </c>
      <c r="H81" s="49" t="s">
        <v>39</v>
      </c>
      <c r="I81" s="49" t="s">
        <v>163</v>
      </c>
      <c r="J81" s="49">
        <v>0</v>
      </c>
    </row>
    <row r="82" spans="1:10" ht="15.75" customHeight="1" x14ac:dyDescent="0.2">
      <c r="A82" s="60" t="s">
        <v>176</v>
      </c>
      <c r="B82" s="49">
        <v>59.363999999999997</v>
      </c>
      <c r="C82" s="49">
        <v>7.9139999999999997</v>
      </c>
      <c r="D82" s="61">
        <f t="shared" si="0"/>
        <v>67.277999999999992</v>
      </c>
      <c r="E82" s="61">
        <v>63.85</v>
      </c>
      <c r="F82" s="62">
        <v>275</v>
      </c>
      <c r="G82" s="62">
        <v>2002</v>
      </c>
      <c r="H82" s="49" t="s">
        <v>39</v>
      </c>
      <c r="I82" s="49" t="s">
        <v>163</v>
      </c>
      <c r="J82" s="49">
        <v>0</v>
      </c>
    </row>
    <row r="83" spans="1:10" ht="15.75" customHeight="1" x14ac:dyDescent="0.2">
      <c r="A83" s="60" t="s">
        <v>177</v>
      </c>
      <c r="B83" s="49">
        <v>59.363999999999997</v>
      </c>
      <c r="C83" s="49">
        <v>7.9139999999999997</v>
      </c>
      <c r="D83" s="61">
        <f t="shared" si="0"/>
        <v>67.277999999999992</v>
      </c>
      <c r="E83" s="61">
        <v>63.85</v>
      </c>
      <c r="F83" s="62">
        <v>275</v>
      </c>
      <c r="G83" s="62">
        <v>2002</v>
      </c>
      <c r="H83" s="49" t="s">
        <v>39</v>
      </c>
      <c r="I83" s="49" t="s">
        <v>163</v>
      </c>
      <c r="J83" s="49">
        <v>0</v>
      </c>
    </row>
    <row r="84" spans="1:10" ht="15.75" customHeight="1" x14ac:dyDescent="0.2">
      <c r="A84" s="60" t="s">
        <v>178</v>
      </c>
      <c r="B84" s="49">
        <v>59.363999999999997</v>
      </c>
      <c r="C84" s="49">
        <v>7.9139999999999997</v>
      </c>
      <c r="D84" s="61">
        <f t="shared" si="0"/>
        <v>67.277999999999992</v>
      </c>
      <c r="E84" s="61">
        <v>63.85</v>
      </c>
      <c r="F84" s="62">
        <v>273.7</v>
      </c>
      <c r="G84" s="62">
        <v>2000</v>
      </c>
      <c r="H84" s="49" t="s">
        <v>39</v>
      </c>
      <c r="I84" s="49" t="s">
        <v>163</v>
      </c>
      <c r="J84" s="49">
        <v>0</v>
      </c>
    </row>
    <row r="85" spans="1:10" ht="15.75" customHeight="1" x14ac:dyDescent="0.2">
      <c r="A85" s="60" t="s">
        <v>179</v>
      </c>
      <c r="B85" s="49">
        <v>59.363999999999997</v>
      </c>
      <c r="C85" s="49">
        <v>7.9139999999999997</v>
      </c>
      <c r="D85" s="61">
        <f t="shared" si="0"/>
        <v>67.277999999999992</v>
      </c>
      <c r="E85" s="61">
        <v>63.85</v>
      </c>
      <c r="F85" s="62">
        <v>273.7</v>
      </c>
      <c r="G85" s="62">
        <v>2000</v>
      </c>
      <c r="H85" s="49" t="s">
        <v>39</v>
      </c>
      <c r="I85" s="49" t="s">
        <v>163</v>
      </c>
      <c r="J85" s="49">
        <v>0</v>
      </c>
    </row>
    <row r="86" spans="1:10" ht="15.75" customHeight="1" x14ac:dyDescent="0.2">
      <c r="A86" s="60" t="s">
        <v>180</v>
      </c>
      <c r="B86" s="49">
        <v>59.363999999999997</v>
      </c>
      <c r="C86" s="49">
        <v>7.9139999999999997</v>
      </c>
      <c r="D86" s="61">
        <f t="shared" si="0"/>
        <v>67.277999999999992</v>
      </c>
      <c r="E86" s="61">
        <v>63.85</v>
      </c>
      <c r="F86" s="62">
        <v>273.7</v>
      </c>
      <c r="G86" s="62">
        <v>2001</v>
      </c>
      <c r="H86" s="49" t="s">
        <v>39</v>
      </c>
      <c r="I86" s="49" t="s">
        <v>163</v>
      </c>
      <c r="J86" s="49">
        <v>0</v>
      </c>
    </row>
    <row r="87" spans="1:10" ht="15.75" customHeight="1" x14ac:dyDescent="0.2">
      <c r="A87" s="60" t="s">
        <v>181</v>
      </c>
      <c r="B87" s="49">
        <v>59.363999999999997</v>
      </c>
      <c r="C87" s="49">
        <v>7.9139999999999997</v>
      </c>
      <c r="D87" s="61">
        <f t="shared" si="0"/>
        <v>67.277999999999992</v>
      </c>
      <c r="E87" s="61">
        <v>63.85</v>
      </c>
      <c r="F87" s="62">
        <v>273.7</v>
      </c>
      <c r="G87" s="62">
        <v>2001</v>
      </c>
      <c r="H87" s="49" t="s">
        <v>39</v>
      </c>
      <c r="I87" s="49" t="s">
        <v>163</v>
      </c>
      <c r="J87" s="49">
        <v>0</v>
      </c>
    </row>
    <row r="88" spans="1:10" ht="15.75" customHeight="1" x14ac:dyDescent="0.2">
      <c r="A88" s="60" t="s">
        <v>182</v>
      </c>
      <c r="B88" s="49">
        <v>59.363999999999997</v>
      </c>
      <c r="C88" s="49">
        <v>7.9139999999999997</v>
      </c>
      <c r="D88" s="61">
        <f t="shared" si="0"/>
        <v>67.277999999999992</v>
      </c>
      <c r="E88" s="61">
        <v>63.85</v>
      </c>
      <c r="F88" s="62">
        <v>120</v>
      </c>
      <c r="G88" s="62">
        <v>1994</v>
      </c>
      <c r="H88" s="49" t="s">
        <v>39</v>
      </c>
      <c r="I88" s="49" t="s">
        <v>163</v>
      </c>
      <c r="J88" s="49">
        <v>0</v>
      </c>
    </row>
    <row r="89" spans="1:10" ht="15.75" customHeight="1" x14ac:dyDescent="0.2">
      <c r="A89" s="60" t="s">
        <v>183</v>
      </c>
      <c r="B89" s="49">
        <v>59.363999999999997</v>
      </c>
      <c r="C89" s="49">
        <v>7.9139999999999997</v>
      </c>
      <c r="D89" s="61">
        <f t="shared" si="0"/>
        <v>67.277999999999992</v>
      </c>
      <c r="E89" s="61">
        <v>63.85</v>
      </c>
      <c r="F89" s="62">
        <v>100</v>
      </c>
      <c r="G89" s="62">
        <v>1994</v>
      </c>
      <c r="H89" s="49" t="s">
        <v>39</v>
      </c>
      <c r="I89" s="49" t="s">
        <v>163</v>
      </c>
      <c r="J89" s="49">
        <v>0</v>
      </c>
    </row>
    <row r="90" spans="1:10" ht="15.75" customHeight="1" x14ac:dyDescent="0.2">
      <c r="A90" s="60" t="s">
        <v>184</v>
      </c>
      <c r="B90" s="49">
        <v>59.363999999999997</v>
      </c>
      <c r="C90" s="49">
        <v>7.9139999999999997</v>
      </c>
      <c r="D90" s="61">
        <f t="shared" si="0"/>
        <v>67.277999999999992</v>
      </c>
      <c r="E90" s="61">
        <v>63.85</v>
      </c>
      <c r="F90" s="62">
        <v>100</v>
      </c>
      <c r="G90" s="62">
        <v>1994</v>
      </c>
      <c r="H90" s="49" t="s">
        <v>39</v>
      </c>
      <c r="I90" s="49" t="s">
        <v>163</v>
      </c>
      <c r="J90" s="49">
        <v>0</v>
      </c>
    </row>
    <row r="91" spans="1:10" ht="15.75" customHeight="1" x14ac:dyDescent="0.2">
      <c r="A91" s="60" t="s">
        <v>185</v>
      </c>
      <c r="B91" s="49">
        <v>59.363999999999997</v>
      </c>
      <c r="C91" s="49">
        <v>7.9139999999999997</v>
      </c>
      <c r="D91" s="61">
        <f t="shared" si="0"/>
        <v>67.277999999999992</v>
      </c>
      <c r="E91" s="61">
        <v>63.85</v>
      </c>
      <c r="F91" s="62">
        <v>242</v>
      </c>
      <c r="G91" s="62">
        <v>2013</v>
      </c>
      <c r="H91" s="49" t="s">
        <v>39</v>
      </c>
      <c r="I91" s="49" t="s">
        <v>163</v>
      </c>
      <c r="J91" s="49">
        <v>0</v>
      </c>
    </row>
    <row r="92" spans="1:10" ht="15.75" customHeight="1" x14ac:dyDescent="0.2">
      <c r="A92" s="60" t="s">
        <v>186</v>
      </c>
      <c r="B92" s="49">
        <v>59.363999999999997</v>
      </c>
      <c r="C92" s="49">
        <v>7.9139999999999997</v>
      </c>
      <c r="D92" s="61">
        <f t="shared" si="0"/>
        <v>67.277999999999992</v>
      </c>
      <c r="E92" s="61">
        <v>63.85</v>
      </c>
      <c r="F92" s="62">
        <v>112</v>
      </c>
      <c r="G92" s="62">
        <v>1997</v>
      </c>
      <c r="H92" s="49" t="s">
        <v>39</v>
      </c>
      <c r="I92" s="49" t="s">
        <v>163</v>
      </c>
      <c r="J92" s="49">
        <v>0</v>
      </c>
    </row>
    <row r="93" spans="1:10" ht="15.75" customHeight="1" x14ac:dyDescent="0.2">
      <c r="A93" s="54"/>
      <c r="B93" s="54"/>
      <c r="C93" s="54"/>
      <c r="D93" s="61"/>
      <c r="E93" s="61"/>
      <c r="F93" s="54"/>
      <c r="G93" s="54"/>
      <c r="H93" s="54"/>
      <c r="I93" s="54"/>
      <c r="J93" s="54"/>
    </row>
    <row r="94" spans="1:10" ht="15.75" customHeight="1" x14ac:dyDescent="0.2">
      <c r="A94" s="54"/>
      <c r="B94" s="54"/>
      <c r="C94" s="54"/>
      <c r="D94" s="61"/>
      <c r="E94" s="61"/>
      <c r="F94" s="54"/>
      <c r="G94" s="54"/>
      <c r="H94" s="54"/>
      <c r="I94" s="54"/>
      <c r="J94" s="54"/>
    </row>
    <row r="95" spans="1:10" ht="15.75" customHeight="1" x14ac:dyDescent="0.2">
      <c r="A95" s="54"/>
      <c r="B95" s="54"/>
      <c r="C95" s="54"/>
      <c r="D95" s="61"/>
      <c r="E95" s="61"/>
      <c r="F95" s="54"/>
      <c r="G95" s="54"/>
      <c r="H95" s="54"/>
      <c r="I95" s="54"/>
      <c r="J95" s="54"/>
    </row>
    <row r="96" spans="1:10" ht="15.75" customHeight="1" x14ac:dyDescent="0.2">
      <c r="A96" s="54"/>
      <c r="B96" s="54"/>
      <c r="C96" s="54"/>
      <c r="D96" s="61"/>
      <c r="E96" s="61"/>
      <c r="F96" s="54"/>
      <c r="G96" s="54"/>
      <c r="H96" s="54"/>
      <c r="I96" s="54"/>
      <c r="J96" s="54"/>
    </row>
    <row r="97" spans="1:10" ht="15.75" customHeight="1" x14ac:dyDescent="0.2">
      <c r="A97" s="54"/>
      <c r="B97" s="54"/>
      <c r="C97" s="54"/>
      <c r="D97" s="61"/>
      <c r="E97" s="61"/>
      <c r="F97" s="54"/>
      <c r="G97" s="54"/>
      <c r="H97" s="54"/>
      <c r="I97" s="54"/>
      <c r="J97" s="54"/>
    </row>
    <row r="98" spans="1:10" ht="15.75" customHeight="1" x14ac:dyDescent="0.2">
      <c r="A98" s="54"/>
      <c r="B98" s="54"/>
      <c r="C98" s="54"/>
      <c r="D98" s="61"/>
      <c r="E98" s="61"/>
      <c r="F98" s="54"/>
      <c r="G98" s="54"/>
      <c r="H98" s="54"/>
      <c r="I98" s="54"/>
      <c r="J98" s="54"/>
    </row>
    <row r="99" spans="1:10" ht="15.75" customHeight="1" x14ac:dyDescent="0.2">
      <c r="A99" s="54"/>
      <c r="B99" s="54"/>
      <c r="C99" s="54"/>
      <c r="D99" s="61"/>
      <c r="E99" s="61"/>
      <c r="F99" s="54"/>
      <c r="G99" s="54"/>
      <c r="H99" s="54"/>
      <c r="I99" s="54"/>
      <c r="J99" s="54"/>
    </row>
    <row r="100" spans="1:10" ht="15.75" customHeight="1" x14ac:dyDescent="0.2">
      <c r="A100" s="54"/>
      <c r="B100" s="54"/>
      <c r="C100" s="54"/>
      <c r="D100" s="61"/>
      <c r="E100" s="61"/>
      <c r="F100" s="54"/>
      <c r="G100" s="54"/>
      <c r="H100" s="54"/>
      <c r="I100" s="54"/>
      <c r="J100" s="54"/>
    </row>
    <row r="101" spans="1:10" ht="15.75" customHeight="1" x14ac:dyDescent="0.2">
      <c r="A101" s="54"/>
      <c r="B101" s="54"/>
      <c r="C101" s="54"/>
      <c r="D101" s="61"/>
      <c r="E101" s="61"/>
      <c r="F101" s="54"/>
      <c r="G101" s="54"/>
      <c r="H101" s="54"/>
      <c r="I101" s="54"/>
      <c r="J101" s="54"/>
    </row>
    <row r="102" spans="1:10" ht="15.75" customHeight="1" x14ac:dyDescent="0.2">
      <c r="A102" s="54"/>
      <c r="B102" s="54"/>
      <c r="C102" s="54"/>
      <c r="D102" s="61"/>
      <c r="E102" s="61"/>
      <c r="F102" s="54"/>
      <c r="G102" s="54"/>
      <c r="H102" s="54"/>
      <c r="I102" s="54"/>
      <c r="J102" s="54"/>
    </row>
    <row r="103" spans="1:10" ht="15.75" customHeight="1" x14ac:dyDescent="0.2">
      <c r="A103" s="54"/>
      <c r="B103" s="54"/>
      <c r="C103" s="54"/>
      <c r="D103" s="61"/>
      <c r="E103" s="61"/>
      <c r="F103" s="54"/>
      <c r="G103" s="54"/>
      <c r="H103" s="54"/>
      <c r="I103" s="54"/>
      <c r="J103" s="54"/>
    </row>
    <row r="104" spans="1:10" ht="15.75" customHeight="1" x14ac:dyDescent="0.2">
      <c r="A104" s="54"/>
      <c r="B104" s="54"/>
      <c r="C104" s="54"/>
      <c r="D104" s="61"/>
      <c r="E104" s="61"/>
      <c r="F104" s="54"/>
      <c r="G104" s="54"/>
      <c r="H104" s="54"/>
      <c r="I104" s="54"/>
      <c r="J104" s="54"/>
    </row>
    <row r="105" spans="1:10" ht="15.75" customHeight="1" x14ac:dyDescent="0.2">
      <c r="A105" s="54"/>
      <c r="B105" s="54"/>
      <c r="C105" s="54"/>
      <c r="D105" s="61"/>
      <c r="E105" s="61"/>
      <c r="F105" s="54"/>
      <c r="G105" s="54"/>
      <c r="H105" s="54"/>
      <c r="I105" s="54"/>
      <c r="J105" s="54"/>
    </row>
    <row r="106" spans="1:10" ht="15.75" customHeight="1" x14ac:dyDescent="0.2">
      <c r="A106" s="54"/>
      <c r="B106" s="54"/>
      <c r="C106" s="54"/>
      <c r="D106" s="61"/>
      <c r="E106" s="61"/>
      <c r="F106" s="54"/>
      <c r="G106" s="54"/>
      <c r="H106" s="54"/>
      <c r="I106" s="54"/>
      <c r="J106" s="54"/>
    </row>
    <row r="107" spans="1:10" ht="15.75" customHeight="1" x14ac:dyDescent="0.2">
      <c r="A107" s="54"/>
      <c r="B107" s="54"/>
      <c r="C107" s="54"/>
      <c r="D107" s="61"/>
      <c r="E107" s="61"/>
      <c r="F107" s="54"/>
      <c r="G107" s="54"/>
      <c r="H107" s="54"/>
      <c r="I107" s="54"/>
      <c r="J107" s="54"/>
    </row>
    <row r="108" spans="1:10" ht="15.75" customHeight="1" x14ac:dyDescent="0.2">
      <c r="A108" s="54"/>
      <c r="B108" s="54"/>
      <c r="C108" s="54"/>
      <c r="D108" s="61"/>
      <c r="E108" s="61"/>
      <c r="F108" s="54"/>
      <c r="G108" s="54"/>
      <c r="H108" s="54"/>
      <c r="I108" s="54"/>
      <c r="J108" s="54"/>
    </row>
    <row r="109" spans="1:10" ht="15.75" customHeight="1" x14ac:dyDescent="0.2">
      <c r="A109" s="54"/>
      <c r="B109" s="54"/>
      <c r="C109" s="54"/>
      <c r="D109" s="61"/>
      <c r="E109" s="61"/>
      <c r="F109" s="54"/>
      <c r="G109" s="54"/>
      <c r="H109" s="54"/>
      <c r="I109" s="54"/>
      <c r="J109" s="54"/>
    </row>
    <row r="110" spans="1:10" ht="15.75" customHeight="1" x14ac:dyDescent="0.2">
      <c r="A110" s="54"/>
      <c r="B110" s="54"/>
      <c r="C110" s="54"/>
      <c r="D110" s="61"/>
      <c r="E110" s="61"/>
      <c r="F110" s="54"/>
      <c r="G110" s="54"/>
      <c r="H110" s="54"/>
      <c r="I110" s="54"/>
      <c r="J110" s="54"/>
    </row>
    <row r="111" spans="1:10" ht="15.75" customHeight="1" x14ac:dyDescent="0.2">
      <c r="A111" s="54"/>
      <c r="B111" s="54"/>
      <c r="C111" s="54"/>
      <c r="D111" s="61"/>
      <c r="E111" s="61"/>
      <c r="F111" s="54"/>
      <c r="G111" s="54"/>
      <c r="H111" s="54"/>
      <c r="I111" s="54"/>
      <c r="J111" s="54"/>
    </row>
    <row r="112" spans="1:10" ht="15.75" customHeight="1" x14ac:dyDescent="0.2">
      <c r="A112" s="54"/>
      <c r="B112" s="54"/>
      <c r="C112" s="54"/>
      <c r="D112" s="61"/>
      <c r="E112" s="61"/>
      <c r="F112" s="54"/>
      <c r="G112" s="54"/>
      <c r="H112" s="54"/>
      <c r="I112" s="54"/>
      <c r="J112" s="54"/>
    </row>
    <row r="113" spans="1:10" ht="15.75" customHeight="1" x14ac:dyDescent="0.2">
      <c r="A113" s="54"/>
      <c r="B113" s="54"/>
      <c r="C113" s="54"/>
      <c r="D113" s="61"/>
      <c r="E113" s="61"/>
      <c r="F113" s="54"/>
      <c r="G113" s="54"/>
      <c r="H113" s="54"/>
      <c r="I113" s="54"/>
      <c r="J113" s="54"/>
    </row>
    <row r="114" spans="1:10" ht="15.75" customHeight="1" x14ac:dyDescent="0.2">
      <c r="A114" s="54"/>
      <c r="B114" s="54"/>
      <c r="C114" s="54"/>
      <c r="D114" s="61"/>
      <c r="E114" s="61"/>
      <c r="F114" s="54"/>
      <c r="G114" s="54"/>
      <c r="H114" s="54"/>
      <c r="I114" s="54"/>
      <c r="J114" s="54"/>
    </row>
    <row r="115" spans="1:10" ht="15.75" customHeight="1" x14ac:dyDescent="0.2">
      <c r="A115" s="54"/>
      <c r="B115" s="54"/>
      <c r="C115" s="54"/>
      <c r="D115" s="61"/>
      <c r="E115" s="61"/>
      <c r="F115" s="54"/>
      <c r="G115" s="54"/>
      <c r="H115" s="54"/>
      <c r="I115" s="54"/>
      <c r="J115" s="54"/>
    </row>
    <row r="116" spans="1:10" ht="15.75" customHeight="1" x14ac:dyDescent="0.2">
      <c r="A116" s="54"/>
      <c r="B116" s="54"/>
      <c r="C116" s="54"/>
      <c r="D116" s="61"/>
      <c r="E116" s="61"/>
      <c r="F116" s="54"/>
      <c r="G116" s="54"/>
      <c r="H116" s="54"/>
      <c r="I116" s="54"/>
      <c r="J116" s="54"/>
    </row>
    <row r="117" spans="1:10" ht="15.75" customHeight="1" x14ac:dyDescent="0.2">
      <c r="A117" s="54"/>
      <c r="B117" s="54"/>
      <c r="C117" s="54"/>
      <c r="D117" s="61"/>
      <c r="E117" s="61"/>
      <c r="F117" s="54"/>
      <c r="G117" s="54"/>
      <c r="H117" s="54"/>
      <c r="I117" s="54"/>
      <c r="J117" s="54"/>
    </row>
    <row r="118" spans="1:10" ht="15.75" customHeight="1" x14ac:dyDescent="0.2">
      <c r="A118" s="54"/>
      <c r="B118" s="54"/>
      <c r="C118" s="54"/>
      <c r="D118" s="61"/>
      <c r="E118" s="61"/>
      <c r="F118" s="54"/>
      <c r="G118" s="54"/>
      <c r="H118" s="54"/>
      <c r="I118" s="54"/>
      <c r="J118" s="54"/>
    </row>
    <row r="119" spans="1:10" ht="15.75" customHeight="1" x14ac:dyDescent="0.2">
      <c r="A119" s="54"/>
      <c r="B119" s="54"/>
      <c r="C119" s="54"/>
      <c r="D119" s="61"/>
      <c r="E119" s="61"/>
      <c r="F119" s="54"/>
      <c r="G119" s="54"/>
      <c r="H119" s="54"/>
      <c r="I119" s="54"/>
      <c r="J119" s="54"/>
    </row>
    <row r="120" spans="1:10" ht="15.75" customHeight="1" x14ac:dyDescent="0.2">
      <c r="A120" s="54"/>
      <c r="B120" s="54"/>
      <c r="C120" s="54"/>
      <c r="D120" s="61"/>
      <c r="E120" s="61"/>
      <c r="F120" s="54"/>
      <c r="G120" s="54"/>
      <c r="H120" s="54"/>
      <c r="I120" s="54"/>
      <c r="J120" s="54"/>
    </row>
    <row r="121" spans="1:10" ht="15.75" customHeight="1" x14ac:dyDescent="0.2">
      <c r="A121" s="54"/>
      <c r="B121" s="54"/>
      <c r="C121" s="54"/>
      <c r="D121" s="61"/>
      <c r="E121" s="61"/>
      <c r="F121" s="54"/>
      <c r="G121" s="54"/>
      <c r="H121" s="54"/>
      <c r="I121" s="54"/>
      <c r="J121" s="54"/>
    </row>
    <row r="122" spans="1:10" ht="15.75" customHeight="1" x14ac:dyDescent="0.2">
      <c r="A122" s="54"/>
      <c r="B122" s="54"/>
      <c r="C122" s="54"/>
      <c r="D122" s="61"/>
      <c r="E122" s="61"/>
      <c r="F122" s="54"/>
      <c r="G122" s="54"/>
      <c r="H122" s="54"/>
      <c r="I122" s="54"/>
      <c r="J122" s="54"/>
    </row>
    <row r="123" spans="1:10" ht="15.75" customHeight="1" x14ac:dyDescent="0.2">
      <c r="A123" s="54"/>
      <c r="B123" s="54"/>
      <c r="C123" s="54"/>
      <c r="D123" s="61"/>
      <c r="E123" s="61"/>
      <c r="F123" s="54"/>
      <c r="G123" s="54"/>
      <c r="H123" s="54"/>
      <c r="I123" s="54"/>
      <c r="J123" s="54"/>
    </row>
    <row r="124" spans="1:10" ht="15.75" customHeight="1" x14ac:dyDescent="0.2">
      <c r="A124" s="54"/>
      <c r="B124" s="54"/>
      <c r="C124" s="54"/>
      <c r="D124" s="61"/>
      <c r="E124" s="61"/>
      <c r="F124" s="54"/>
      <c r="G124" s="54"/>
      <c r="H124" s="54"/>
      <c r="I124" s="54"/>
      <c r="J124" s="54"/>
    </row>
    <row r="125" spans="1:10" ht="15.75" customHeight="1" x14ac:dyDescent="0.2">
      <c r="A125" s="54"/>
      <c r="B125" s="54"/>
      <c r="C125" s="54"/>
      <c r="D125" s="61"/>
      <c r="E125" s="61"/>
      <c r="F125" s="54"/>
      <c r="G125" s="54"/>
      <c r="H125" s="54"/>
      <c r="I125" s="54"/>
      <c r="J125" s="54"/>
    </row>
    <row r="126" spans="1:10" ht="15.75" customHeight="1" x14ac:dyDescent="0.2">
      <c r="A126" s="54"/>
      <c r="B126" s="54"/>
      <c r="C126" s="54"/>
      <c r="D126" s="61"/>
      <c r="E126" s="61"/>
      <c r="F126" s="54"/>
      <c r="G126" s="54"/>
      <c r="H126" s="54"/>
      <c r="I126" s="54"/>
      <c r="J126" s="54"/>
    </row>
    <row r="127" spans="1:10" ht="15.75" customHeight="1" x14ac:dyDescent="0.2">
      <c r="A127" s="54"/>
      <c r="B127" s="54"/>
      <c r="C127" s="54"/>
      <c r="D127" s="61"/>
      <c r="E127" s="61"/>
      <c r="F127" s="54"/>
      <c r="G127" s="54"/>
      <c r="H127" s="54"/>
      <c r="I127" s="54"/>
      <c r="J127" s="54"/>
    </row>
    <row r="128" spans="1:10" ht="15.75" customHeight="1" x14ac:dyDescent="0.2">
      <c r="A128" s="54"/>
      <c r="B128" s="54"/>
      <c r="C128" s="54"/>
      <c r="D128" s="61"/>
      <c r="E128" s="61"/>
      <c r="F128" s="54"/>
      <c r="G128" s="54"/>
      <c r="H128" s="54"/>
      <c r="I128" s="54"/>
      <c r="J128" s="54"/>
    </row>
    <row r="129" spans="1:10" ht="15.75" customHeight="1" x14ac:dyDescent="0.2">
      <c r="A129" s="54"/>
      <c r="B129" s="54"/>
      <c r="C129" s="54"/>
      <c r="D129" s="61"/>
      <c r="E129" s="61"/>
      <c r="F129" s="54"/>
      <c r="G129" s="54"/>
      <c r="H129" s="54"/>
      <c r="I129" s="54"/>
      <c r="J129" s="54"/>
    </row>
    <row r="130" spans="1:10" ht="15.75" customHeight="1" x14ac:dyDescent="0.2">
      <c r="A130" s="54"/>
      <c r="B130" s="54"/>
      <c r="C130" s="54"/>
      <c r="D130" s="61"/>
      <c r="E130" s="61"/>
      <c r="F130" s="54"/>
      <c r="G130" s="54"/>
      <c r="H130" s="54"/>
      <c r="I130" s="54"/>
      <c r="J130" s="54"/>
    </row>
    <row r="131" spans="1:10" ht="15.75" customHeight="1" x14ac:dyDescent="0.2">
      <c r="A131" s="54"/>
      <c r="B131" s="54"/>
      <c r="C131" s="54"/>
      <c r="D131" s="61"/>
      <c r="E131" s="61"/>
      <c r="F131" s="54"/>
      <c r="G131" s="54"/>
      <c r="H131" s="54"/>
      <c r="I131" s="54"/>
      <c r="J131" s="54"/>
    </row>
    <row r="132" spans="1:10" ht="15.75" customHeight="1" x14ac:dyDescent="0.2">
      <c r="A132" s="54"/>
      <c r="B132" s="54"/>
      <c r="C132" s="54"/>
      <c r="D132" s="61"/>
      <c r="E132" s="61"/>
      <c r="F132" s="54"/>
      <c r="G132" s="54"/>
      <c r="H132" s="54"/>
      <c r="I132" s="54"/>
      <c r="J132" s="54"/>
    </row>
    <row r="133" spans="1:10" ht="15.75" customHeight="1" x14ac:dyDescent="0.2">
      <c r="A133" s="54"/>
      <c r="B133" s="54"/>
      <c r="C133" s="54"/>
      <c r="D133" s="61"/>
      <c r="E133" s="61"/>
      <c r="F133" s="54"/>
      <c r="G133" s="54"/>
      <c r="H133" s="54"/>
      <c r="I133" s="54"/>
      <c r="J133" s="54"/>
    </row>
    <row r="134" spans="1:10" ht="15.75" customHeight="1" x14ac:dyDescent="0.2">
      <c r="A134" s="54"/>
      <c r="B134" s="54"/>
      <c r="C134" s="54"/>
      <c r="D134" s="61"/>
      <c r="E134" s="61"/>
      <c r="F134" s="54"/>
      <c r="G134" s="54"/>
      <c r="H134" s="54"/>
      <c r="I134" s="54"/>
      <c r="J134" s="54"/>
    </row>
    <row r="135" spans="1:10" ht="15.75" customHeight="1" x14ac:dyDescent="0.2">
      <c r="A135" s="54"/>
      <c r="B135" s="54"/>
      <c r="C135" s="54"/>
      <c r="D135" s="61"/>
      <c r="E135" s="61"/>
      <c r="F135" s="54"/>
      <c r="G135" s="54"/>
      <c r="H135" s="54"/>
      <c r="I135" s="54"/>
      <c r="J135" s="54"/>
    </row>
    <row r="136" spans="1:10" ht="15.75" customHeight="1" x14ac:dyDescent="0.2">
      <c r="A136" s="54"/>
      <c r="B136" s="54"/>
      <c r="C136" s="54"/>
      <c r="D136" s="61"/>
      <c r="E136" s="61"/>
      <c r="F136" s="54"/>
      <c r="G136" s="54"/>
      <c r="H136" s="54"/>
      <c r="I136" s="54"/>
      <c r="J136" s="54"/>
    </row>
    <row r="137" spans="1:10" ht="15.75" customHeight="1" x14ac:dyDescent="0.2">
      <c r="A137" s="54"/>
      <c r="B137" s="54"/>
      <c r="C137" s="54"/>
      <c r="D137" s="61"/>
      <c r="E137" s="61"/>
      <c r="F137" s="54"/>
      <c r="G137" s="54"/>
      <c r="H137" s="54"/>
      <c r="I137" s="54"/>
      <c r="J137" s="54"/>
    </row>
    <row r="138" spans="1:10" ht="15.75" customHeight="1" x14ac:dyDescent="0.2">
      <c r="A138" s="54"/>
      <c r="B138" s="54"/>
      <c r="C138" s="54"/>
      <c r="D138" s="61"/>
      <c r="E138" s="61"/>
      <c r="F138" s="54"/>
      <c r="G138" s="54"/>
      <c r="H138" s="54"/>
      <c r="I138" s="54"/>
      <c r="J138" s="54"/>
    </row>
    <row r="139" spans="1:10" ht="15.75" customHeight="1" x14ac:dyDescent="0.2">
      <c r="A139" s="54"/>
      <c r="B139" s="54"/>
      <c r="C139" s="54"/>
      <c r="D139" s="61"/>
      <c r="E139" s="61"/>
      <c r="F139" s="54"/>
      <c r="G139" s="54"/>
      <c r="H139" s="54"/>
      <c r="I139" s="54"/>
      <c r="J139" s="54"/>
    </row>
    <row r="140" spans="1:10" ht="15.75" customHeight="1" x14ac:dyDescent="0.2">
      <c r="A140" s="54"/>
      <c r="B140" s="54"/>
      <c r="C140" s="54"/>
      <c r="D140" s="61"/>
      <c r="E140" s="61"/>
      <c r="F140" s="54"/>
      <c r="G140" s="54"/>
      <c r="H140" s="54"/>
      <c r="I140" s="54"/>
      <c r="J140" s="54"/>
    </row>
    <row r="141" spans="1:10" ht="15.75" customHeight="1" x14ac:dyDescent="0.2">
      <c r="A141" s="54"/>
      <c r="B141" s="54"/>
      <c r="C141" s="54"/>
      <c r="D141" s="61"/>
      <c r="E141" s="61"/>
      <c r="F141" s="54"/>
      <c r="G141" s="54"/>
      <c r="H141" s="54"/>
      <c r="I141" s="54"/>
      <c r="J141" s="54"/>
    </row>
    <row r="142" spans="1:10" ht="15.75" customHeight="1" x14ac:dyDescent="0.2">
      <c r="A142" s="54"/>
      <c r="B142" s="54"/>
      <c r="C142" s="54"/>
      <c r="D142" s="61"/>
      <c r="E142" s="61"/>
      <c r="F142" s="54"/>
      <c r="G142" s="54"/>
      <c r="H142" s="54"/>
      <c r="I142" s="54"/>
      <c r="J142" s="54"/>
    </row>
    <row r="143" spans="1:10" ht="15.75" customHeight="1" x14ac:dyDescent="0.2">
      <c r="A143" s="54"/>
      <c r="B143" s="54"/>
      <c r="C143" s="54"/>
      <c r="D143" s="61"/>
      <c r="E143" s="61"/>
      <c r="F143" s="54"/>
      <c r="G143" s="54"/>
      <c r="H143" s="54"/>
      <c r="I143" s="54"/>
      <c r="J143" s="54"/>
    </row>
    <row r="144" spans="1:10" ht="15.75" customHeight="1" x14ac:dyDescent="0.2">
      <c r="A144" s="54"/>
      <c r="B144" s="54"/>
      <c r="C144" s="54"/>
      <c r="D144" s="61"/>
      <c r="E144" s="61"/>
      <c r="F144" s="54"/>
      <c r="G144" s="54"/>
      <c r="H144" s="54"/>
      <c r="I144" s="54"/>
      <c r="J144" s="54"/>
    </row>
    <row r="145" spans="1:10" ht="15.75" customHeight="1" x14ac:dyDescent="0.2">
      <c r="A145" s="54"/>
      <c r="B145" s="54"/>
      <c r="C145" s="54"/>
      <c r="D145" s="61"/>
      <c r="E145" s="61"/>
      <c r="F145" s="54"/>
      <c r="G145" s="54"/>
      <c r="H145" s="54"/>
      <c r="I145" s="54"/>
      <c r="J145" s="54"/>
    </row>
    <row r="146" spans="1:10" ht="15.75" customHeight="1" x14ac:dyDescent="0.2">
      <c r="A146" s="54"/>
      <c r="B146" s="54"/>
      <c r="C146" s="54"/>
      <c r="D146" s="61"/>
      <c r="E146" s="61"/>
      <c r="F146" s="54"/>
      <c r="G146" s="54"/>
      <c r="H146" s="54"/>
      <c r="I146" s="54"/>
      <c r="J146" s="54"/>
    </row>
    <row r="147" spans="1:10" ht="15.75" customHeight="1" x14ac:dyDescent="0.2">
      <c r="A147" s="54"/>
      <c r="B147" s="54"/>
      <c r="C147" s="54"/>
      <c r="D147" s="61"/>
      <c r="E147" s="61"/>
      <c r="F147" s="54"/>
      <c r="G147" s="54"/>
      <c r="H147" s="54"/>
      <c r="I147" s="54"/>
      <c r="J147" s="54"/>
    </row>
    <row r="148" spans="1:10" ht="15.75" customHeight="1" x14ac:dyDescent="0.2">
      <c r="A148" s="54"/>
      <c r="B148" s="54"/>
      <c r="C148" s="54"/>
      <c r="D148" s="61"/>
      <c r="E148" s="61"/>
      <c r="F148" s="54"/>
      <c r="G148" s="54"/>
      <c r="H148" s="54"/>
      <c r="I148" s="54"/>
      <c r="J148" s="54"/>
    </row>
    <row r="149" spans="1:10" ht="15.75" customHeight="1" x14ac:dyDescent="0.2">
      <c r="A149" s="54"/>
      <c r="B149" s="54"/>
      <c r="C149" s="54"/>
      <c r="D149" s="61"/>
      <c r="E149" s="61"/>
      <c r="F149" s="54"/>
      <c r="G149" s="54"/>
      <c r="H149" s="54"/>
      <c r="I149" s="54"/>
      <c r="J149" s="54"/>
    </row>
    <row r="150" spans="1:10" ht="15.75" customHeight="1" x14ac:dyDescent="0.2">
      <c r="A150" s="54"/>
      <c r="B150" s="54"/>
      <c r="C150" s="54"/>
      <c r="D150" s="61"/>
      <c r="E150" s="61"/>
      <c r="F150" s="54"/>
      <c r="G150" s="54"/>
      <c r="H150" s="54"/>
      <c r="I150" s="54"/>
      <c r="J150" s="54"/>
    </row>
    <row r="151" spans="1:10" ht="15.75" customHeight="1" x14ac:dyDescent="0.2">
      <c r="A151" s="54"/>
      <c r="B151" s="54"/>
      <c r="C151" s="54"/>
      <c r="D151" s="61"/>
      <c r="E151" s="61"/>
      <c r="F151" s="54"/>
      <c r="G151" s="54"/>
      <c r="H151" s="54"/>
      <c r="I151" s="54"/>
      <c r="J151" s="54"/>
    </row>
    <row r="152" spans="1:10" ht="15.75" customHeight="1" x14ac:dyDescent="0.2">
      <c r="A152" s="54"/>
      <c r="B152" s="54"/>
      <c r="C152" s="54"/>
      <c r="D152" s="61"/>
      <c r="E152" s="61"/>
      <c r="F152" s="54"/>
      <c r="G152" s="54"/>
      <c r="H152" s="54"/>
      <c r="I152" s="54"/>
      <c r="J152" s="54"/>
    </row>
    <row r="153" spans="1:10" ht="15.75" customHeight="1" x14ac:dyDescent="0.2">
      <c r="A153" s="54"/>
      <c r="B153" s="54"/>
      <c r="C153" s="54"/>
      <c r="D153" s="61"/>
      <c r="E153" s="61"/>
      <c r="F153" s="54"/>
      <c r="G153" s="54"/>
      <c r="H153" s="54"/>
      <c r="I153" s="54"/>
      <c r="J153" s="54"/>
    </row>
    <row r="154" spans="1:10" ht="15.75" customHeight="1" x14ac:dyDescent="0.2">
      <c r="A154" s="54"/>
      <c r="B154" s="54"/>
      <c r="C154" s="54"/>
      <c r="D154" s="61"/>
      <c r="E154" s="61"/>
      <c r="F154" s="54"/>
      <c r="G154" s="54"/>
      <c r="H154" s="54"/>
      <c r="I154" s="54"/>
      <c r="J154" s="54"/>
    </row>
    <row r="155" spans="1:10" ht="15.75" customHeight="1" x14ac:dyDescent="0.2">
      <c r="A155" s="54"/>
      <c r="B155" s="54"/>
      <c r="C155" s="54"/>
      <c r="D155" s="61"/>
      <c r="E155" s="61"/>
      <c r="F155" s="54"/>
      <c r="G155" s="54"/>
      <c r="H155" s="54"/>
      <c r="I155" s="54"/>
      <c r="J155" s="54"/>
    </row>
    <row r="156" spans="1:10" ht="15.75" customHeight="1" x14ac:dyDescent="0.2">
      <c r="A156" s="54"/>
      <c r="B156" s="54"/>
      <c r="C156" s="54"/>
      <c r="D156" s="61"/>
      <c r="E156" s="61"/>
      <c r="F156" s="54"/>
      <c r="G156" s="54"/>
      <c r="H156" s="54"/>
      <c r="I156" s="54"/>
      <c r="J156" s="54"/>
    </row>
    <row r="157" spans="1:10" ht="15.75" customHeight="1" x14ac:dyDescent="0.2">
      <c r="A157" s="54"/>
      <c r="B157" s="54"/>
      <c r="C157" s="54"/>
      <c r="D157" s="61"/>
      <c r="E157" s="61"/>
      <c r="F157" s="54"/>
      <c r="G157" s="54"/>
      <c r="H157" s="54"/>
      <c r="I157" s="54"/>
      <c r="J157" s="54"/>
    </row>
    <row r="158" spans="1:10" ht="15.75" customHeight="1" x14ac:dyDescent="0.2">
      <c r="A158" s="54"/>
      <c r="B158" s="54"/>
      <c r="C158" s="54"/>
      <c r="D158" s="61"/>
      <c r="E158" s="61"/>
      <c r="F158" s="54"/>
      <c r="G158" s="54"/>
      <c r="H158" s="54"/>
      <c r="I158" s="54"/>
      <c r="J158" s="54"/>
    </row>
    <row r="159" spans="1:10" ht="15.75" customHeight="1" x14ac:dyDescent="0.2">
      <c r="A159" s="54"/>
      <c r="B159" s="54"/>
      <c r="C159" s="54"/>
      <c r="D159" s="61"/>
      <c r="E159" s="61"/>
      <c r="F159" s="54"/>
      <c r="G159" s="54"/>
      <c r="H159" s="54"/>
      <c r="I159" s="54"/>
      <c r="J159" s="54"/>
    </row>
    <row r="160" spans="1:10" ht="15.75" customHeight="1" x14ac:dyDescent="0.2">
      <c r="A160" s="54"/>
      <c r="B160" s="54"/>
      <c r="C160" s="54"/>
      <c r="D160" s="61"/>
      <c r="E160" s="61"/>
      <c r="F160" s="54"/>
      <c r="G160" s="54"/>
      <c r="H160" s="54"/>
      <c r="I160" s="54"/>
      <c r="J160" s="54"/>
    </row>
    <row r="161" spans="1:10" ht="15.75" customHeight="1" x14ac:dyDescent="0.2">
      <c r="A161" s="54"/>
      <c r="B161" s="54"/>
      <c r="C161" s="54"/>
      <c r="D161" s="61"/>
      <c r="E161" s="61"/>
      <c r="F161" s="54"/>
      <c r="G161" s="54"/>
      <c r="H161" s="54"/>
      <c r="I161" s="54"/>
      <c r="J161" s="54"/>
    </row>
    <row r="162" spans="1:10" ht="15.75" customHeight="1" x14ac:dyDescent="0.2">
      <c r="A162" s="54"/>
      <c r="B162" s="54"/>
      <c r="C162" s="54"/>
      <c r="D162" s="61"/>
      <c r="E162" s="61"/>
      <c r="F162" s="54"/>
      <c r="G162" s="54"/>
      <c r="H162" s="54"/>
      <c r="I162" s="54"/>
      <c r="J162" s="54"/>
    </row>
    <row r="163" spans="1:10" ht="15.75" customHeight="1" x14ac:dyDescent="0.2">
      <c r="A163" s="54"/>
      <c r="B163" s="54"/>
      <c r="C163" s="54"/>
      <c r="D163" s="61"/>
      <c r="E163" s="61"/>
      <c r="F163" s="54"/>
      <c r="G163" s="54"/>
      <c r="H163" s="54"/>
      <c r="I163" s="54"/>
      <c r="J163" s="54"/>
    </row>
    <row r="164" spans="1:10" ht="15.75" customHeight="1" x14ac:dyDescent="0.2">
      <c r="A164" s="54"/>
      <c r="B164" s="54"/>
      <c r="C164" s="54"/>
      <c r="D164" s="61"/>
      <c r="E164" s="61"/>
      <c r="F164" s="54"/>
      <c r="G164" s="54"/>
      <c r="H164" s="54"/>
      <c r="I164" s="54"/>
      <c r="J164" s="54"/>
    </row>
    <row r="165" spans="1:10" ht="15.75" customHeight="1" x14ac:dyDescent="0.2">
      <c r="A165" s="54"/>
      <c r="B165" s="54"/>
      <c r="C165" s="54"/>
      <c r="D165" s="61"/>
      <c r="E165" s="61"/>
      <c r="F165" s="54"/>
      <c r="G165" s="54"/>
      <c r="H165" s="54"/>
      <c r="I165" s="54"/>
      <c r="J165" s="54"/>
    </row>
    <row r="166" spans="1:10" ht="15.75" customHeight="1" x14ac:dyDescent="0.2">
      <c r="A166" s="54"/>
      <c r="B166" s="54"/>
      <c r="C166" s="54"/>
      <c r="D166" s="61"/>
      <c r="E166" s="61"/>
      <c r="F166" s="54"/>
      <c r="G166" s="54"/>
      <c r="H166" s="54"/>
      <c r="I166" s="54"/>
      <c r="J166" s="54"/>
    </row>
    <row r="167" spans="1:10" ht="15.75" customHeight="1" x14ac:dyDescent="0.2">
      <c r="A167" s="54"/>
      <c r="B167" s="54"/>
      <c r="C167" s="54"/>
      <c r="D167" s="61"/>
      <c r="E167" s="61"/>
      <c r="F167" s="54"/>
      <c r="G167" s="54"/>
      <c r="H167" s="54"/>
      <c r="I167" s="54"/>
      <c r="J167" s="54"/>
    </row>
    <row r="168" spans="1:10" ht="15.75" customHeight="1" x14ac:dyDescent="0.2">
      <c r="A168" s="54"/>
      <c r="B168" s="54"/>
      <c r="C168" s="54"/>
      <c r="D168" s="61"/>
      <c r="E168" s="61"/>
      <c r="F168" s="54"/>
      <c r="G168" s="54"/>
      <c r="H168" s="54"/>
      <c r="I168" s="54"/>
      <c r="J168" s="54"/>
    </row>
    <row r="169" spans="1:10" ht="15.75" customHeight="1" x14ac:dyDescent="0.2">
      <c r="A169" s="54"/>
      <c r="B169" s="54"/>
      <c r="C169" s="54"/>
      <c r="D169" s="61"/>
      <c r="E169" s="61"/>
      <c r="F169" s="54"/>
      <c r="G169" s="54"/>
      <c r="H169" s="54"/>
      <c r="I169" s="54"/>
      <c r="J169" s="54"/>
    </row>
    <row r="170" spans="1:10" ht="15.75" customHeight="1" x14ac:dyDescent="0.2">
      <c r="A170" s="54"/>
      <c r="B170" s="54"/>
      <c r="C170" s="54"/>
      <c r="D170" s="61"/>
      <c r="E170" s="61"/>
      <c r="F170" s="54"/>
      <c r="G170" s="54"/>
      <c r="H170" s="54"/>
      <c r="I170" s="54"/>
      <c r="J170" s="54"/>
    </row>
    <row r="171" spans="1:10" ht="15.75" customHeight="1" x14ac:dyDescent="0.2">
      <c r="A171" s="54"/>
      <c r="B171" s="54"/>
      <c r="C171" s="54"/>
      <c r="D171" s="61"/>
      <c r="E171" s="61"/>
      <c r="F171" s="54"/>
      <c r="G171" s="54"/>
      <c r="H171" s="54"/>
      <c r="I171" s="54"/>
      <c r="J171" s="54"/>
    </row>
    <row r="172" spans="1:10" ht="15.75" customHeight="1" x14ac:dyDescent="0.2">
      <c r="A172" s="54"/>
      <c r="B172" s="54"/>
      <c r="C172" s="54"/>
      <c r="D172" s="61"/>
      <c r="E172" s="61"/>
      <c r="F172" s="54"/>
      <c r="G172" s="54"/>
      <c r="H172" s="54"/>
      <c r="I172" s="54"/>
      <c r="J172" s="54"/>
    </row>
    <row r="173" spans="1:10" ht="15.75" customHeight="1" x14ac:dyDescent="0.2">
      <c r="A173" s="54"/>
      <c r="B173" s="54"/>
      <c r="C173" s="54"/>
      <c r="D173" s="61"/>
      <c r="E173" s="61"/>
      <c r="F173" s="54"/>
      <c r="G173" s="54"/>
      <c r="H173" s="54"/>
      <c r="I173" s="54"/>
      <c r="J173" s="54"/>
    </row>
    <row r="174" spans="1:10" ht="15.75" customHeight="1" x14ac:dyDescent="0.2">
      <c r="A174" s="54"/>
      <c r="B174" s="54"/>
      <c r="C174" s="54"/>
      <c r="D174" s="61"/>
      <c r="E174" s="61"/>
      <c r="F174" s="54"/>
      <c r="G174" s="54"/>
      <c r="H174" s="54"/>
      <c r="I174" s="54"/>
      <c r="J174" s="54"/>
    </row>
    <row r="175" spans="1:10" ht="15.75" customHeight="1" x14ac:dyDescent="0.2">
      <c r="A175" s="54"/>
      <c r="B175" s="54"/>
      <c r="C175" s="54"/>
      <c r="D175" s="61"/>
      <c r="E175" s="61"/>
      <c r="F175" s="54"/>
      <c r="G175" s="54"/>
      <c r="H175" s="54"/>
      <c r="I175" s="54"/>
      <c r="J175" s="54"/>
    </row>
    <row r="176" spans="1:10" ht="15.75" customHeight="1" x14ac:dyDescent="0.2">
      <c r="A176" s="54"/>
      <c r="B176" s="54"/>
      <c r="C176" s="54"/>
      <c r="D176" s="61"/>
      <c r="E176" s="61"/>
      <c r="F176" s="54"/>
      <c r="G176" s="54"/>
      <c r="H176" s="54"/>
      <c r="I176" s="54"/>
      <c r="J176" s="54"/>
    </row>
    <row r="177" spans="1:10" ht="15.75" customHeight="1" x14ac:dyDescent="0.2">
      <c r="A177" s="54"/>
      <c r="B177" s="54"/>
      <c r="C177" s="54"/>
      <c r="D177" s="61"/>
      <c r="E177" s="61"/>
      <c r="F177" s="54"/>
      <c r="G177" s="54"/>
      <c r="H177" s="54"/>
      <c r="I177" s="54"/>
      <c r="J177" s="54"/>
    </row>
    <row r="178" spans="1:10" ht="15.75" customHeight="1" x14ac:dyDescent="0.2">
      <c r="A178" s="54"/>
      <c r="B178" s="54"/>
      <c r="C178" s="54"/>
      <c r="D178" s="61"/>
      <c r="E178" s="61"/>
      <c r="F178" s="54"/>
      <c r="G178" s="54"/>
      <c r="H178" s="54"/>
      <c r="I178" s="54"/>
      <c r="J178" s="54"/>
    </row>
    <row r="179" spans="1:10" ht="15.75" customHeight="1" x14ac:dyDescent="0.2">
      <c r="A179" s="54"/>
      <c r="B179" s="54"/>
      <c r="C179" s="54"/>
      <c r="D179" s="61"/>
      <c r="E179" s="61"/>
      <c r="F179" s="54"/>
      <c r="G179" s="54"/>
      <c r="H179" s="54"/>
      <c r="I179" s="54"/>
      <c r="J179" s="54"/>
    </row>
    <row r="180" spans="1:10" ht="15.75" customHeight="1" x14ac:dyDescent="0.2">
      <c r="A180" s="54"/>
      <c r="B180" s="54"/>
      <c r="C180" s="54"/>
      <c r="D180" s="61"/>
      <c r="E180" s="61"/>
      <c r="F180" s="54"/>
      <c r="G180" s="54"/>
      <c r="H180" s="54"/>
      <c r="I180" s="54"/>
      <c r="J180" s="54"/>
    </row>
    <row r="181" spans="1:10" ht="15.75" customHeight="1" x14ac:dyDescent="0.2">
      <c r="A181" s="54"/>
      <c r="B181" s="54"/>
      <c r="C181" s="54"/>
      <c r="D181" s="61"/>
      <c r="E181" s="61"/>
      <c r="F181" s="54"/>
      <c r="G181" s="54"/>
      <c r="H181" s="54"/>
      <c r="I181" s="54"/>
      <c r="J181" s="54"/>
    </row>
    <row r="182" spans="1:10" ht="15.75" customHeight="1" x14ac:dyDescent="0.2">
      <c r="A182" s="54"/>
      <c r="B182" s="54"/>
      <c r="C182" s="54"/>
      <c r="D182" s="61"/>
      <c r="E182" s="61"/>
      <c r="F182" s="54"/>
      <c r="G182" s="54"/>
      <c r="H182" s="54"/>
      <c r="I182" s="54"/>
      <c r="J182" s="54"/>
    </row>
    <row r="183" spans="1:10" ht="15.75" customHeight="1" x14ac:dyDescent="0.2">
      <c r="A183" s="54"/>
      <c r="B183" s="54"/>
      <c r="C183" s="54"/>
      <c r="D183" s="61"/>
      <c r="E183" s="61"/>
      <c r="F183" s="54"/>
      <c r="G183" s="54"/>
      <c r="H183" s="54"/>
      <c r="I183" s="54"/>
      <c r="J183" s="54"/>
    </row>
    <row r="184" spans="1:10" ht="15.75" customHeight="1" x14ac:dyDescent="0.2">
      <c r="A184" s="54"/>
      <c r="B184" s="54"/>
      <c r="C184" s="54"/>
      <c r="D184" s="61"/>
      <c r="E184" s="61"/>
      <c r="F184" s="54"/>
      <c r="G184" s="54"/>
      <c r="H184" s="54"/>
      <c r="I184" s="54"/>
      <c r="J184" s="54"/>
    </row>
    <row r="185" spans="1:10" ht="15.75" customHeight="1" x14ac:dyDescent="0.2">
      <c r="A185" s="54"/>
      <c r="B185" s="54"/>
      <c r="C185" s="54"/>
      <c r="D185" s="61"/>
      <c r="E185" s="61"/>
      <c r="F185" s="54"/>
      <c r="G185" s="54"/>
      <c r="H185" s="54"/>
      <c r="I185" s="54"/>
      <c r="J185" s="54"/>
    </row>
    <row r="186" spans="1:10" ht="15.75" customHeight="1" x14ac:dyDescent="0.2">
      <c r="A186" s="54"/>
      <c r="B186" s="54"/>
      <c r="C186" s="54"/>
      <c r="D186" s="61"/>
      <c r="E186" s="61"/>
      <c r="F186" s="54"/>
      <c r="G186" s="54"/>
      <c r="H186" s="54"/>
      <c r="I186" s="54"/>
      <c r="J186" s="54"/>
    </row>
    <row r="187" spans="1:10" ht="15.75" customHeight="1" x14ac:dyDescent="0.2">
      <c r="A187" s="54"/>
      <c r="B187" s="54"/>
      <c r="C187" s="54"/>
      <c r="D187" s="61"/>
      <c r="E187" s="61"/>
      <c r="F187" s="54"/>
      <c r="G187" s="54"/>
      <c r="H187" s="54"/>
      <c r="I187" s="54"/>
      <c r="J187" s="54"/>
    </row>
    <row r="188" spans="1:10" ht="15.75" customHeight="1" x14ac:dyDescent="0.2">
      <c r="A188" s="54"/>
      <c r="B188" s="54"/>
      <c r="C188" s="54"/>
      <c r="D188" s="61"/>
      <c r="E188" s="61"/>
      <c r="F188" s="54"/>
      <c r="G188" s="54"/>
      <c r="H188" s="54"/>
      <c r="I188" s="54"/>
      <c r="J188" s="54"/>
    </row>
    <row r="189" spans="1:10" ht="15.75" customHeight="1" x14ac:dyDescent="0.2">
      <c r="A189" s="54"/>
      <c r="B189" s="54"/>
      <c r="C189" s="54"/>
      <c r="D189" s="61"/>
      <c r="E189" s="61"/>
      <c r="F189" s="54"/>
      <c r="G189" s="54"/>
      <c r="H189" s="54"/>
      <c r="I189" s="54"/>
      <c r="J189" s="54"/>
    </row>
    <row r="190" spans="1:10" ht="15.75" customHeight="1" x14ac:dyDescent="0.2">
      <c r="A190" s="54"/>
      <c r="B190" s="54"/>
      <c r="C190" s="54"/>
      <c r="D190" s="61"/>
      <c r="E190" s="61"/>
      <c r="F190" s="54"/>
      <c r="G190" s="54"/>
      <c r="H190" s="54"/>
      <c r="I190" s="54"/>
      <c r="J190" s="54"/>
    </row>
    <row r="191" spans="1:10" ht="15.75" customHeight="1" x14ac:dyDescent="0.2">
      <c r="A191" s="54"/>
      <c r="B191" s="54"/>
      <c r="C191" s="54"/>
      <c r="D191" s="61"/>
      <c r="E191" s="61"/>
      <c r="F191" s="54"/>
      <c r="G191" s="54"/>
      <c r="H191" s="54"/>
      <c r="I191" s="54"/>
      <c r="J191" s="54"/>
    </row>
    <row r="192" spans="1:10" ht="15.75" customHeight="1" x14ac:dyDescent="0.2">
      <c r="A192" s="54"/>
      <c r="B192" s="54"/>
      <c r="C192" s="54"/>
      <c r="D192" s="61"/>
      <c r="E192" s="61"/>
      <c r="F192" s="54"/>
      <c r="G192" s="54"/>
      <c r="H192" s="54"/>
      <c r="I192" s="54"/>
      <c r="J192" s="54"/>
    </row>
    <row r="193" spans="1:10" ht="15.75" customHeight="1" x14ac:dyDescent="0.2">
      <c r="A193" s="54"/>
      <c r="B193" s="54"/>
      <c r="C193" s="54"/>
      <c r="D193" s="61"/>
      <c r="E193" s="61"/>
      <c r="F193" s="54"/>
      <c r="G193" s="54"/>
      <c r="H193" s="54"/>
      <c r="I193" s="54"/>
      <c r="J193" s="54"/>
    </row>
    <row r="194" spans="1:10" ht="15.75" customHeight="1" x14ac:dyDescent="0.2">
      <c r="A194" s="54"/>
      <c r="B194" s="54"/>
      <c r="C194" s="54"/>
      <c r="D194" s="61"/>
      <c r="E194" s="61"/>
      <c r="F194" s="54"/>
      <c r="G194" s="54"/>
      <c r="H194" s="54"/>
      <c r="I194" s="54"/>
      <c r="J194" s="54"/>
    </row>
    <row r="195" spans="1:10" ht="15.75" customHeight="1" x14ac:dyDescent="0.2">
      <c r="A195" s="54"/>
      <c r="B195" s="54"/>
      <c r="C195" s="54"/>
      <c r="D195" s="61"/>
      <c r="E195" s="61"/>
      <c r="F195" s="54"/>
      <c r="G195" s="54"/>
      <c r="H195" s="54"/>
      <c r="I195" s="54"/>
      <c r="J195" s="54"/>
    </row>
    <row r="196" spans="1:10" ht="15.75" customHeight="1" x14ac:dyDescent="0.2">
      <c r="A196" s="54"/>
      <c r="B196" s="54"/>
      <c r="C196" s="54"/>
      <c r="D196" s="61"/>
      <c r="E196" s="61"/>
      <c r="F196" s="54"/>
      <c r="G196" s="54"/>
      <c r="H196" s="54"/>
      <c r="I196" s="54"/>
      <c r="J196" s="54"/>
    </row>
    <row r="197" spans="1:10" ht="15.75" customHeight="1" x14ac:dyDescent="0.2">
      <c r="A197" s="54"/>
      <c r="B197" s="54"/>
      <c r="C197" s="54"/>
      <c r="D197" s="61"/>
      <c r="E197" s="61"/>
      <c r="F197" s="54"/>
      <c r="G197" s="54"/>
      <c r="H197" s="54"/>
      <c r="I197" s="54"/>
      <c r="J197" s="54"/>
    </row>
    <row r="198" spans="1:10" ht="15.75" customHeight="1" x14ac:dyDescent="0.2">
      <c r="A198" s="54"/>
      <c r="B198" s="54"/>
      <c r="C198" s="54"/>
      <c r="D198" s="61"/>
      <c r="E198" s="61"/>
      <c r="F198" s="54"/>
      <c r="G198" s="54"/>
      <c r="H198" s="54"/>
      <c r="I198" s="54"/>
      <c r="J198" s="54"/>
    </row>
    <row r="199" spans="1:10" ht="15.75" customHeight="1" x14ac:dyDescent="0.2">
      <c r="A199" s="54"/>
      <c r="B199" s="54"/>
      <c r="C199" s="54"/>
      <c r="D199" s="61"/>
      <c r="E199" s="61"/>
      <c r="F199" s="54"/>
      <c r="G199" s="54"/>
      <c r="H199" s="54"/>
      <c r="I199" s="54"/>
      <c r="J199" s="54"/>
    </row>
    <row r="200" spans="1:10" ht="15.75" customHeight="1" x14ac:dyDescent="0.2">
      <c r="A200" s="54"/>
      <c r="B200" s="54"/>
      <c r="C200" s="54"/>
      <c r="D200" s="61"/>
      <c r="E200" s="61"/>
      <c r="F200" s="54"/>
      <c r="G200" s="54"/>
      <c r="H200" s="54"/>
      <c r="I200" s="54"/>
      <c r="J200" s="54"/>
    </row>
    <row r="201" spans="1:10" ht="15.75" customHeight="1" x14ac:dyDescent="0.2">
      <c r="A201" s="54"/>
      <c r="B201" s="54"/>
      <c r="C201" s="54"/>
      <c r="D201" s="61"/>
      <c r="E201" s="61"/>
      <c r="F201" s="54"/>
      <c r="G201" s="54"/>
      <c r="H201" s="54"/>
      <c r="I201" s="54"/>
      <c r="J201" s="54"/>
    </row>
    <row r="202" spans="1:10" ht="15.75" customHeight="1" x14ac:dyDescent="0.2">
      <c r="A202" s="54"/>
      <c r="B202" s="54"/>
      <c r="C202" s="54"/>
      <c r="D202" s="61"/>
      <c r="E202" s="61"/>
      <c r="F202" s="54"/>
      <c r="G202" s="54"/>
      <c r="H202" s="54"/>
      <c r="I202" s="54"/>
      <c r="J202" s="54"/>
    </row>
    <row r="203" spans="1:10" ht="15.75" customHeight="1" x14ac:dyDescent="0.2">
      <c r="A203" s="54"/>
      <c r="B203" s="54"/>
      <c r="C203" s="54"/>
      <c r="D203" s="61"/>
      <c r="E203" s="61"/>
      <c r="F203" s="54"/>
      <c r="G203" s="54"/>
      <c r="H203" s="54"/>
      <c r="I203" s="54"/>
      <c r="J203" s="54"/>
    </row>
    <row r="204" spans="1:10" ht="15.75" customHeight="1" x14ac:dyDescent="0.2">
      <c r="A204" s="54"/>
      <c r="B204" s="54"/>
      <c r="C204" s="54"/>
      <c r="D204" s="61"/>
      <c r="E204" s="61"/>
      <c r="F204" s="54"/>
      <c r="G204" s="54"/>
      <c r="H204" s="54"/>
      <c r="I204" s="54"/>
      <c r="J204" s="54"/>
    </row>
    <row r="205" spans="1:10" ht="15.75" customHeight="1" x14ac:dyDescent="0.2">
      <c r="A205" s="54"/>
      <c r="B205" s="54"/>
      <c r="C205" s="54"/>
      <c r="D205" s="61"/>
      <c r="E205" s="61"/>
      <c r="F205" s="54"/>
      <c r="G205" s="54"/>
      <c r="H205" s="54"/>
      <c r="I205" s="54"/>
      <c r="J205" s="54"/>
    </row>
    <row r="206" spans="1:10" ht="15.75" customHeight="1" x14ac:dyDescent="0.2">
      <c r="A206" s="54"/>
      <c r="B206" s="54"/>
      <c r="C206" s="54"/>
      <c r="D206" s="61"/>
      <c r="E206" s="61"/>
      <c r="F206" s="54"/>
      <c r="G206" s="54"/>
      <c r="H206" s="54"/>
      <c r="I206" s="54"/>
      <c r="J206" s="54"/>
    </row>
    <row r="207" spans="1:10" ht="15.75" customHeight="1" x14ac:dyDescent="0.2">
      <c r="A207" s="54"/>
      <c r="B207" s="54"/>
      <c r="C207" s="54"/>
      <c r="D207" s="61"/>
      <c r="E207" s="61"/>
      <c r="F207" s="54"/>
      <c r="G207" s="54"/>
      <c r="H207" s="54"/>
      <c r="I207" s="54"/>
      <c r="J207" s="54"/>
    </row>
    <row r="208" spans="1:10" ht="15.75" customHeight="1" x14ac:dyDescent="0.2">
      <c r="A208" s="54"/>
      <c r="B208" s="54"/>
      <c r="C208" s="54"/>
      <c r="D208" s="61"/>
      <c r="E208" s="61"/>
      <c r="F208" s="54"/>
      <c r="G208" s="54"/>
      <c r="H208" s="54"/>
      <c r="I208" s="54"/>
      <c r="J208" s="54"/>
    </row>
    <row r="209" spans="1:10" ht="15.75" customHeight="1" x14ac:dyDescent="0.2">
      <c r="A209" s="54"/>
      <c r="B209" s="54"/>
      <c r="C209" s="54"/>
      <c r="D209" s="61"/>
      <c r="E209" s="61"/>
      <c r="F209" s="54"/>
      <c r="G209" s="54"/>
      <c r="H209" s="54"/>
      <c r="I209" s="54"/>
      <c r="J209" s="54"/>
    </row>
    <row r="210" spans="1:10" ht="15.75" customHeight="1" x14ac:dyDescent="0.2">
      <c r="A210" s="54"/>
      <c r="B210" s="54"/>
      <c r="C210" s="54"/>
      <c r="D210" s="61"/>
      <c r="E210" s="61"/>
      <c r="F210" s="54"/>
      <c r="G210" s="54"/>
      <c r="H210" s="54"/>
      <c r="I210" s="54"/>
      <c r="J210" s="54"/>
    </row>
    <row r="211" spans="1:10" ht="15.75" customHeight="1" x14ac:dyDescent="0.2">
      <c r="A211" s="54"/>
      <c r="B211" s="54"/>
      <c r="C211" s="54"/>
      <c r="D211" s="61"/>
      <c r="E211" s="61"/>
      <c r="F211" s="54"/>
      <c r="G211" s="54"/>
      <c r="H211" s="54"/>
      <c r="I211" s="54"/>
      <c r="J211" s="54"/>
    </row>
    <row r="212" spans="1:10" ht="15.75" customHeight="1" x14ac:dyDescent="0.2">
      <c r="A212" s="54"/>
      <c r="B212" s="54"/>
      <c r="C212" s="54"/>
      <c r="D212" s="61"/>
      <c r="E212" s="61"/>
      <c r="F212" s="54"/>
      <c r="G212" s="54"/>
      <c r="H212" s="54"/>
      <c r="I212" s="54"/>
      <c r="J212" s="54"/>
    </row>
    <row r="213" spans="1:10" ht="15.75" customHeight="1" x14ac:dyDescent="0.2">
      <c r="A213" s="54"/>
      <c r="B213" s="54"/>
      <c r="C213" s="54"/>
      <c r="D213" s="61"/>
      <c r="E213" s="61"/>
      <c r="F213" s="54"/>
      <c r="G213" s="54"/>
      <c r="H213" s="54"/>
      <c r="I213" s="54"/>
      <c r="J213" s="54"/>
    </row>
    <row r="214" spans="1:10" ht="15.75" customHeight="1" x14ac:dyDescent="0.2">
      <c r="A214" s="54"/>
      <c r="B214" s="54"/>
      <c r="C214" s="54"/>
      <c r="D214" s="61"/>
      <c r="E214" s="61"/>
      <c r="F214" s="54"/>
      <c r="G214" s="54"/>
      <c r="H214" s="54"/>
      <c r="I214" s="54"/>
      <c r="J214" s="54"/>
    </row>
    <row r="215" spans="1:10" ht="15.75" customHeight="1" x14ac:dyDescent="0.2">
      <c r="A215" s="54"/>
      <c r="B215" s="54"/>
      <c r="C215" s="54"/>
      <c r="D215" s="61"/>
      <c r="E215" s="61"/>
      <c r="F215" s="54"/>
      <c r="G215" s="54"/>
      <c r="H215" s="54"/>
      <c r="I215" s="54"/>
      <c r="J215" s="54"/>
    </row>
    <row r="216" spans="1:10" ht="15.75" customHeight="1" x14ac:dyDescent="0.2">
      <c r="A216" s="54"/>
      <c r="B216" s="54"/>
      <c r="C216" s="54"/>
      <c r="D216" s="61"/>
      <c r="E216" s="61"/>
      <c r="F216" s="54"/>
      <c r="G216" s="54"/>
      <c r="H216" s="54"/>
      <c r="I216" s="54"/>
      <c r="J216" s="54"/>
    </row>
    <row r="217" spans="1:10" ht="15.75" customHeight="1" x14ac:dyDescent="0.2">
      <c r="A217" s="54"/>
      <c r="B217" s="54"/>
      <c r="C217" s="54"/>
      <c r="D217" s="61"/>
      <c r="E217" s="61"/>
      <c r="F217" s="54"/>
      <c r="G217" s="54"/>
      <c r="H217" s="54"/>
      <c r="I217" s="54"/>
      <c r="J217" s="54"/>
    </row>
    <row r="218" spans="1:10" ht="15.75" customHeight="1" x14ac:dyDescent="0.2">
      <c r="A218" s="54"/>
      <c r="B218" s="54"/>
      <c r="C218" s="54"/>
      <c r="D218" s="61"/>
      <c r="E218" s="61"/>
      <c r="F218" s="54"/>
      <c r="G218" s="54"/>
      <c r="H218" s="54"/>
      <c r="I218" s="54"/>
      <c r="J218" s="54"/>
    </row>
    <row r="219" spans="1:10" ht="15.75" customHeight="1" x14ac:dyDescent="0.2">
      <c r="A219" s="54"/>
      <c r="B219" s="54"/>
      <c r="C219" s="54"/>
      <c r="D219" s="61"/>
      <c r="E219" s="61"/>
      <c r="F219" s="54"/>
      <c r="G219" s="54"/>
      <c r="H219" s="54"/>
      <c r="I219" s="54"/>
      <c r="J219" s="54"/>
    </row>
    <row r="220" spans="1:10" ht="15.75" customHeight="1" x14ac:dyDescent="0.2">
      <c r="A220" s="54"/>
      <c r="B220" s="54"/>
      <c r="C220" s="54"/>
      <c r="D220" s="61"/>
      <c r="E220" s="61"/>
      <c r="F220" s="54"/>
      <c r="G220" s="54"/>
      <c r="H220" s="54"/>
      <c r="I220" s="54"/>
      <c r="J220" s="54"/>
    </row>
    <row r="221" spans="1:10" ht="15.75" customHeight="1" x14ac:dyDescent="0.2">
      <c r="G221" s="54"/>
      <c r="H221" s="54"/>
      <c r="I221" s="54"/>
      <c r="J221" s="54"/>
    </row>
    <row r="222" spans="1:10" ht="15.75" customHeight="1" x14ac:dyDescent="0.2">
      <c r="G222" s="54"/>
      <c r="H222" s="54"/>
      <c r="I222" s="54"/>
      <c r="J222" s="54"/>
    </row>
    <row r="223" spans="1:10" ht="15.75" customHeight="1" x14ac:dyDescent="0.2">
      <c r="G223" s="54"/>
      <c r="H223" s="54"/>
      <c r="I223" s="54"/>
      <c r="J223" s="54"/>
    </row>
    <row r="224" spans="1:10" ht="15.75" customHeight="1" x14ac:dyDescent="0.2">
      <c r="G224" s="54"/>
      <c r="H224" s="54"/>
      <c r="I224" s="54"/>
      <c r="J224" s="54"/>
    </row>
    <row r="225" spans="7:10" ht="15.75" customHeight="1" x14ac:dyDescent="0.2">
      <c r="G225" s="54"/>
      <c r="H225" s="54"/>
      <c r="I225" s="54"/>
      <c r="J225" s="54"/>
    </row>
    <row r="226" spans="7:10" ht="15.75" customHeight="1" x14ac:dyDescent="0.2">
      <c r="G226" s="54"/>
      <c r="H226" s="54"/>
      <c r="I226" s="54"/>
      <c r="J226" s="54"/>
    </row>
    <row r="227" spans="7:10" ht="15.75" customHeight="1" x14ac:dyDescent="0.2">
      <c r="G227" s="54"/>
      <c r="H227" s="54"/>
      <c r="I227" s="54"/>
      <c r="J227" s="54"/>
    </row>
    <row r="228" spans="7:10" ht="15.75" customHeight="1" x14ac:dyDescent="0.2">
      <c r="G228" s="54"/>
      <c r="H228" s="54"/>
      <c r="I228" s="54"/>
      <c r="J228" s="54"/>
    </row>
    <row r="229" spans="7:10" ht="15.75" customHeight="1" x14ac:dyDescent="0.2">
      <c r="G229" s="54"/>
      <c r="H229" s="54"/>
      <c r="I229" s="54"/>
      <c r="J229" s="54"/>
    </row>
    <row r="230" spans="7:10" ht="15.75" customHeight="1" x14ac:dyDescent="0.2">
      <c r="G230" s="54"/>
      <c r="H230" s="54"/>
      <c r="I230" s="54"/>
      <c r="J230" s="54"/>
    </row>
    <row r="231" spans="7:10" ht="15.75" customHeight="1" x14ac:dyDescent="0.2">
      <c r="G231" s="54"/>
      <c r="H231" s="54"/>
      <c r="I231" s="54"/>
      <c r="J231" s="54"/>
    </row>
    <row r="232" spans="7:10" ht="15.75" customHeight="1" x14ac:dyDescent="0.2">
      <c r="G232" s="54"/>
      <c r="H232" s="54"/>
      <c r="I232" s="54"/>
      <c r="J232" s="54"/>
    </row>
    <row r="233" spans="7:10" ht="15.75" customHeight="1" x14ac:dyDescent="0.2">
      <c r="G233" s="54"/>
      <c r="H233" s="54"/>
      <c r="I233" s="54"/>
      <c r="J233" s="54"/>
    </row>
    <row r="234" spans="7:10" ht="15.75" customHeight="1" x14ac:dyDescent="0.2">
      <c r="G234" s="54"/>
      <c r="H234" s="54"/>
      <c r="I234" s="54"/>
      <c r="J234" s="54"/>
    </row>
    <row r="235" spans="7:10" ht="15.75" customHeight="1" x14ac:dyDescent="0.2">
      <c r="G235" s="54"/>
      <c r="H235" s="54"/>
      <c r="I235" s="54"/>
      <c r="J235" s="54"/>
    </row>
    <row r="236" spans="7:10" ht="15.75" customHeight="1" x14ac:dyDescent="0.2">
      <c r="G236" s="54"/>
      <c r="H236" s="54"/>
      <c r="I236" s="54"/>
      <c r="J236" s="54"/>
    </row>
    <row r="237" spans="7:10" ht="15.75" customHeight="1" x14ac:dyDescent="0.2">
      <c r="G237" s="54"/>
      <c r="H237" s="54"/>
      <c r="I237" s="54"/>
      <c r="J237" s="54"/>
    </row>
    <row r="238" spans="7:10" ht="15.75" customHeight="1" x14ac:dyDescent="0.2">
      <c r="G238" s="54"/>
      <c r="H238" s="54"/>
      <c r="I238" s="54"/>
      <c r="J238" s="54"/>
    </row>
    <row r="239" spans="7:10" ht="15.75" customHeight="1" x14ac:dyDescent="0.2">
      <c r="G239" s="54"/>
      <c r="H239" s="54"/>
      <c r="I239" s="54"/>
      <c r="J239" s="54"/>
    </row>
    <row r="240" spans="7:10" ht="15.75" customHeight="1" x14ac:dyDescent="0.2">
      <c r="G240" s="54"/>
      <c r="H240" s="54"/>
      <c r="I240" s="54"/>
      <c r="J240" s="54"/>
    </row>
    <row r="241" spans="7:10" ht="15.75" customHeight="1" x14ac:dyDescent="0.2">
      <c r="G241" s="54"/>
      <c r="H241" s="54"/>
      <c r="I241" s="54"/>
      <c r="J241" s="54"/>
    </row>
    <row r="242" spans="7:10" ht="15.75" customHeight="1" x14ac:dyDescent="0.2">
      <c r="G242" s="54"/>
      <c r="H242" s="54"/>
      <c r="I242" s="54"/>
      <c r="J242" s="54"/>
    </row>
    <row r="243" spans="7:10" ht="15.75" customHeight="1" x14ac:dyDescent="0.2">
      <c r="G243" s="54"/>
      <c r="H243" s="54"/>
      <c r="I243" s="54"/>
      <c r="J243" s="54"/>
    </row>
    <row r="244" spans="7:10" ht="15.75" customHeight="1" x14ac:dyDescent="0.2">
      <c r="G244" s="54"/>
      <c r="H244" s="54"/>
      <c r="I244" s="54"/>
      <c r="J244" s="54"/>
    </row>
    <row r="245" spans="7:10" ht="15.75" customHeight="1" x14ac:dyDescent="0.2">
      <c r="G245" s="54"/>
      <c r="H245" s="54"/>
      <c r="I245" s="54"/>
      <c r="J245" s="54"/>
    </row>
    <row r="246" spans="7:10" ht="15.75" customHeight="1" x14ac:dyDescent="0.2">
      <c r="G246" s="54"/>
      <c r="H246" s="54"/>
      <c r="I246" s="54"/>
      <c r="J246" s="54"/>
    </row>
    <row r="247" spans="7:10" ht="15.75" customHeight="1" x14ac:dyDescent="0.2">
      <c r="G247" s="54"/>
      <c r="H247" s="54"/>
      <c r="I247" s="54"/>
      <c r="J247" s="54"/>
    </row>
    <row r="248" spans="7:10" ht="15.75" customHeight="1" x14ac:dyDescent="0.2">
      <c r="G248" s="54"/>
      <c r="H248" s="54"/>
      <c r="I248" s="54"/>
      <c r="J248" s="54"/>
    </row>
    <row r="249" spans="7:10" ht="15.75" customHeight="1" x14ac:dyDescent="0.2">
      <c r="G249" s="54"/>
      <c r="H249" s="54"/>
      <c r="I249" s="54"/>
      <c r="J249" s="54"/>
    </row>
    <row r="250" spans="7:10" ht="15.75" customHeight="1" x14ac:dyDescent="0.2">
      <c r="G250" s="54"/>
      <c r="H250" s="54"/>
      <c r="I250" s="54"/>
      <c r="J250" s="54"/>
    </row>
    <row r="251" spans="7:10" ht="15.75" customHeight="1" x14ac:dyDescent="0.2">
      <c r="G251" s="54"/>
      <c r="H251" s="54"/>
      <c r="I251" s="54"/>
      <c r="J251" s="54"/>
    </row>
    <row r="252" spans="7:10" ht="15.75" customHeight="1" x14ac:dyDescent="0.2">
      <c r="G252" s="54"/>
      <c r="H252" s="54"/>
      <c r="I252" s="54"/>
      <c r="J252" s="54"/>
    </row>
    <row r="253" spans="7:10" ht="15.75" customHeight="1" x14ac:dyDescent="0.2">
      <c r="G253" s="54"/>
      <c r="H253" s="54"/>
      <c r="I253" s="54"/>
      <c r="J253" s="54"/>
    </row>
    <row r="254" spans="7:10" ht="15.75" customHeight="1" x14ac:dyDescent="0.2">
      <c r="G254" s="54"/>
      <c r="H254" s="54"/>
      <c r="I254" s="54"/>
      <c r="J254" s="54"/>
    </row>
    <row r="255" spans="7:10" ht="15.75" customHeight="1" x14ac:dyDescent="0.2">
      <c r="G255" s="54"/>
      <c r="H255" s="54"/>
      <c r="I255" s="54"/>
      <c r="J255" s="54"/>
    </row>
    <row r="256" spans="7:10" ht="15.75" customHeight="1" x14ac:dyDescent="0.2">
      <c r="G256" s="54"/>
      <c r="H256" s="54"/>
      <c r="I256" s="54"/>
      <c r="J256" s="54"/>
    </row>
    <row r="257" spans="7:10" ht="15.75" customHeight="1" x14ac:dyDescent="0.2">
      <c r="G257" s="54"/>
      <c r="H257" s="54"/>
      <c r="I257" s="54"/>
      <c r="J257" s="54"/>
    </row>
    <row r="258" spans="7:10" ht="15.75" customHeight="1" x14ac:dyDescent="0.2">
      <c r="G258" s="54"/>
      <c r="H258" s="54"/>
      <c r="I258" s="54"/>
      <c r="J258" s="54"/>
    </row>
    <row r="259" spans="7:10" ht="15.75" customHeight="1" x14ac:dyDescent="0.2">
      <c r="G259" s="54"/>
      <c r="H259" s="54"/>
      <c r="I259" s="54"/>
      <c r="J259" s="54"/>
    </row>
    <row r="260" spans="7:10" ht="15.75" customHeight="1" x14ac:dyDescent="0.2">
      <c r="G260" s="54"/>
      <c r="H260" s="54"/>
      <c r="I260" s="54"/>
      <c r="J260" s="54"/>
    </row>
    <row r="261" spans="7:10" ht="15.75" customHeight="1" x14ac:dyDescent="0.2">
      <c r="G261" s="54"/>
      <c r="H261" s="54"/>
      <c r="I261" s="54"/>
      <c r="J261" s="54"/>
    </row>
    <row r="262" spans="7:10" ht="15.75" customHeight="1" x14ac:dyDescent="0.2">
      <c r="G262" s="54"/>
      <c r="H262" s="54"/>
      <c r="I262" s="54"/>
      <c r="J262" s="54"/>
    </row>
    <row r="263" spans="7:10" ht="15.75" customHeight="1" x14ac:dyDescent="0.2">
      <c r="G263" s="54"/>
      <c r="H263" s="54"/>
      <c r="I263" s="54"/>
      <c r="J263" s="54"/>
    </row>
    <row r="264" spans="7:10" ht="15.75" customHeight="1" x14ac:dyDescent="0.2">
      <c r="G264" s="54"/>
      <c r="H264" s="54"/>
      <c r="I264" s="54"/>
      <c r="J264" s="54"/>
    </row>
    <row r="265" spans="7:10" ht="15.75" customHeight="1" x14ac:dyDescent="0.2">
      <c r="G265" s="54"/>
      <c r="H265" s="54"/>
      <c r="I265" s="54"/>
      <c r="J265" s="54"/>
    </row>
    <row r="266" spans="7:10" ht="15.75" customHeight="1" x14ac:dyDescent="0.2">
      <c r="G266" s="54"/>
      <c r="H266" s="54"/>
      <c r="I266" s="54"/>
      <c r="J266" s="54"/>
    </row>
    <row r="267" spans="7:10" ht="15.75" customHeight="1" x14ac:dyDescent="0.2">
      <c r="G267" s="54"/>
      <c r="H267" s="54"/>
      <c r="I267" s="54"/>
      <c r="J267" s="54"/>
    </row>
    <row r="268" spans="7:10" ht="15.75" customHeight="1" x14ac:dyDescent="0.2">
      <c r="G268" s="54"/>
      <c r="H268" s="54"/>
      <c r="I268" s="54"/>
      <c r="J268" s="54"/>
    </row>
    <row r="269" spans="7:10" ht="15.75" customHeight="1" x14ac:dyDescent="0.2">
      <c r="G269" s="54"/>
      <c r="H269" s="54"/>
      <c r="I269" s="54"/>
      <c r="J269" s="54"/>
    </row>
    <row r="270" spans="7:10" ht="15.75" customHeight="1" x14ac:dyDescent="0.2">
      <c r="G270" s="54"/>
      <c r="H270" s="54"/>
      <c r="I270" s="54"/>
      <c r="J270" s="54"/>
    </row>
    <row r="271" spans="7:10" ht="15.75" customHeight="1" x14ac:dyDescent="0.2">
      <c r="G271" s="54"/>
      <c r="H271" s="54"/>
      <c r="I271" s="54"/>
      <c r="J271" s="54"/>
    </row>
    <row r="272" spans="7:10" ht="15.75" customHeight="1" x14ac:dyDescent="0.2">
      <c r="G272" s="54"/>
      <c r="H272" s="54"/>
      <c r="I272" s="54"/>
      <c r="J272" s="54"/>
    </row>
    <row r="273" spans="7:10" ht="15.75" customHeight="1" x14ac:dyDescent="0.2">
      <c r="G273" s="54"/>
      <c r="H273" s="54"/>
      <c r="I273" s="54"/>
      <c r="J273" s="54"/>
    </row>
    <row r="274" spans="7:10" ht="15.75" customHeight="1" x14ac:dyDescent="0.2">
      <c r="G274" s="54"/>
      <c r="H274" s="54"/>
      <c r="I274" s="54"/>
      <c r="J274" s="54"/>
    </row>
    <row r="275" spans="7:10" ht="15.75" customHeight="1" x14ac:dyDescent="0.2">
      <c r="G275" s="54"/>
      <c r="H275" s="54"/>
      <c r="I275" s="54"/>
      <c r="J275" s="54"/>
    </row>
    <row r="276" spans="7:10" ht="15.75" customHeight="1" x14ac:dyDescent="0.2">
      <c r="G276" s="54"/>
      <c r="H276" s="54"/>
      <c r="I276" s="54"/>
      <c r="J276" s="54"/>
    </row>
    <row r="277" spans="7:10" ht="15.75" customHeight="1" x14ac:dyDescent="0.2">
      <c r="G277" s="54"/>
      <c r="H277" s="54"/>
      <c r="I277" s="54"/>
      <c r="J277" s="54"/>
    </row>
    <row r="278" spans="7:10" ht="15.75" customHeight="1" x14ac:dyDescent="0.2">
      <c r="G278" s="54"/>
      <c r="H278" s="54"/>
      <c r="I278" s="54"/>
      <c r="J278" s="54"/>
    </row>
    <row r="279" spans="7:10" ht="15.75" customHeight="1" x14ac:dyDescent="0.2">
      <c r="G279" s="54"/>
      <c r="H279" s="54"/>
      <c r="I279" s="54"/>
      <c r="J279" s="54"/>
    </row>
    <row r="280" spans="7:10" ht="15.75" customHeight="1" x14ac:dyDescent="0.2">
      <c r="G280" s="54"/>
      <c r="H280" s="54"/>
      <c r="I280" s="54"/>
      <c r="J280" s="54"/>
    </row>
    <row r="281" spans="7:10" ht="15.75" customHeight="1" x14ac:dyDescent="0.2">
      <c r="G281" s="54"/>
      <c r="H281" s="54"/>
      <c r="I281" s="54"/>
      <c r="J281" s="54"/>
    </row>
    <row r="282" spans="7:10" ht="15.75" customHeight="1" x14ac:dyDescent="0.2">
      <c r="G282" s="54"/>
      <c r="H282" s="54"/>
      <c r="I282" s="54"/>
      <c r="J282" s="54"/>
    </row>
    <row r="283" spans="7:10" ht="15.75" customHeight="1" x14ac:dyDescent="0.2">
      <c r="G283" s="54"/>
      <c r="H283" s="54"/>
      <c r="I283" s="54"/>
      <c r="J283" s="54"/>
    </row>
    <row r="284" spans="7:10" ht="15.75" customHeight="1" x14ac:dyDescent="0.2">
      <c r="G284" s="54"/>
      <c r="H284" s="54"/>
      <c r="I284" s="54"/>
      <c r="J284" s="54"/>
    </row>
    <row r="285" spans="7:10" ht="15.75" customHeight="1" x14ac:dyDescent="0.2">
      <c r="G285" s="54"/>
      <c r="H285" s="54"/>
      <c r="I285" s="54"/>
      <c r="J285" s="54"/>
    </row>
    <row r="286" spans="7:10" ht="15.75" customHeight="1" x14ac:dyDescent="0.2">
      <c r="G286" s="54"/>
      <c r="H286" s="54"/>
      <c r="I286" s="54"/>
      <c r="J286" s="54"/>
    </row>
    <row r="287" spans="7:10" ht="15.75" customHeight="1" x14ac:dyDescent="0.2">
      <c r="G287" s="54"/>
      <c r="H287" s="54"/>
      <c r="I287" s="54"/>
      <c r="J287" s="54"/>
    </row>
    <row r="288" spans="7:10" ht="15.75" customHeight="1" x14ac:dyDescent="0.2">
      <c r="G288" s="54"/>
      <c r="H288" s="54"/>
      <c r="I288" s="54"/>
      <c r="J288" s="54"/>
    </row>
    <row r="289" spans="7:10" ht="15.75" customHeight="1" x14ac:dyDescent="0.2">
      <c r="G289" s="54"/>
      <c r="H289" s="54"/>
      <c r="I289" s="54"/>
      <c r="J289" s="54"/>
    </row>
    <row r="290" spans="7:10" ht="15.75" customHeight="1" x14ac:dyDescent="0.2">
      <c r="G290" s="54"/>
      <c r="H290" s="54"/>
      <c r="I290" s="54"/>
      <c r="J290" s="54"/>
    </row>
    <row r="291" spans="7:10" ht="15.75" customHeight="1" x14ac:dyDescent="0.2">
      <c r="G291" s="54"/>
      <c r="H291" s="54"/>
      <c r="I291" s="54"/>
      <c r="J291" s="54"/>
    </row>
    <row r="292" spans="7:10" ht="15.75" customHeight="1" x14ac:dyDescent="0.2">
      <c r="G292" s="54"/>
      <c r="H292" s="54"/>
      <c r="I292" s="54"/>
      <c r="J292" s="54"/>
    </row>
    <row r="293" spans="7:10" ht="15.75" customHeight="1" x14ac:dyDescent="0.2">
      <c r="G293" s="54"/>
      <c r="H293" s="54"/>
      <c r="I293" s="54"/>
      <c r="J293" s="54"/>
    </row>
    <row r="294" spans="7:10" ht="15.75" customHeight="1" x14ac:dyDescent="0.2">
      <c r="G294" s="54"/>
      <c r="H294" s="54"/>
      <c r="I294" s="54"/>
      <c r="J294" s="54"/>
    </row>
    <row r="295" spans="7:10" ht="15.75" customHeight="1" x14ac:dyDescent="0.2">
      <c r="G295" s="54"/>
      <c r="H295" s="54"/>
      <c r="I295" s="54"/>
      <c r="J295" s="54"/>
    </row>
    <row r="296" spans="7:10" ht="15.75" customHeight="1" x14ac:dyDescent="0.2">
      <c r="G296" s="54"/>
      <c r="H296" s="54"/>
      <c r="I296" s="54"/>
      <c r="J296" s="54"/>
    </row>
    <row r="297" spans="7:10" ht="15.75" customHeight="1" x14ac:dyDescent="0.2">
      <c r="G297" s="54"/>
      <c r="H297" s="54"/>
      <c r="I297" s="54"/>
      <c r="J297" s="54"/>
    </row>
    <row r="298" spans="7:10" ht="15.75" customHeight="1" x14ac:dyDescent="0.2">
      <c r="G298" s="54"/>
      <c r="H298" s="54"/>
      <c r="I298" s="54"/>
      <c r="J298" s="54"/>
    </row>
    <row r="299" spans="7:10" ht="15.75" customHeight="1" x14ac:dyDescent="0.2">
      <c r="G299" s="54"/>
      <c r="H299" s="54"/>
      <c r="I299" s="54"/>
      <c r="J299" s="54"/>
    </row>
    <row r="300" spans="7:10" ht="15.75" customHeight="1" x14ac:dyDescent="0.2">
      <c r="G300" s="54"/>
      <c r="H300" s="54"/>
      <c r="I300" s="54"/>
      <c r="J300" s="54"/>
    </row>
    <row r="301" spans="7:10" ht="15.75" customHeight="1" x14ac:dyDescent="0.2">
      <c r="G301" s="54"/>
      <c r="H301" s="54"/>
      <c r="I301" s="54"/>
      <c r="J301" s="54"/>
    </row>
    <row r="302" spans="7:10" ht="15.75" customHeight="1" x14ac:dyDescent="0.2">
      <c r="G302" s="54"/>
      <c r="H302" s="54"/>
      <c r="I302" s="54"/>
      <c r="J302" s="54"/>
    </row>
    <row r="303" spans="7:10" ht="15.75" customHeight="1" x14ac:dyDescent="0.2">
      <c r="G303" s="54"/>
      <c r="H303" s="54"/>
      <c r="I303" s="54"/>
      <c r="J303" s="54"/>
    </row>
    <row r="304" spans="7:10" ht="15.75" customHeight="1" x14ac:dyDescent="0.2">
      <c r="G304" s="54"/>
      <c r="H304" s="54"/>
      <c r="I304" s="54"/>
      <c r="J304" s="54"/>
    </row>
    <row r="305" spans="7:10" ht="15.75" customHeight="1" x14ac:dyDescent="0.2">
      <c r="G305" s="54"/>
      <c r="H305" s="54"/>
      <c r="I305" s="54"/>
      <c r="J305" s="54"/>
    </row>
    <row r="306" spans="7:10" ht="15.75" customHeight="1" x14ac:dyDescent="0.2">
      <c r="G306" s="54"/>
      <c r="H306" s="54"/>
      <c r="I306" s="54"/>
      <c r="J306" s="54"/>
    </row>
    <row r="307" spans="7:10" ht="15.75" customHeight="1" x14ac:dyDescent="0.2">
      <c r="G307" s="54"/>
      <c r="H307" s="54"/>
      <c r="I307" s="54"/>
      <c r="J307" s="54"/>
    </row>
    <row r="308" spans="7:10" ht="15.75" customHeight="1" x14ac:dyDescent="0.2">
      <c r="G308" s="54"/>
      <c r="H308" s="54"/>
      <c r="I308" s="54"/>
      <c r="J308" s="54"/>
    </row>
    <row r="309" spans="7:10" ht="15.75" customHeight="1" x14ac:dyDescent="0.2">
      <c r="G309" s="54"/>
      <c r="H309" s="54"/>
      <c r="I309" s="54"/>
      <c r="J309" s="54"/>
    </row>
    <row r="310" spans="7:10" ht="15.75" customHeight="1" x14ac:dyDescent="0.2">
      <c r="G310" s="54"/>
      <c r="H310" s="54"/>
      <c r="I310" s="54"/>
      <c r="J310" s="54"/>
    </row>
    <row r="311" spans="7:10" ht="15.75" customHeight="1" x14ac:dyDescent="0.2">
      <c r="G311" s="54"/>
      <c r="H311" s="54"/>
      <c r="I311" s="54"/>
      <c r="J311" s="54"/>
    </row>
    <row r="312" spans="7:10" ht="15.75" customHeight="1" x14ac:dyDescent="0.2">
      <c r="G312" s="54"/>
      <c r="H312" s="54"/>
      <c r="I312" s="54"/>
      <c r="J312" s="54"/>
    </row>
    <row r="313" spans="7:10" ht="15.75" customHeight="1" x14ac:dyDescent="0.2">
      <c r="G313" s="54"/>
      <c r="H313" s="54"/>
      <c r="I313" s="54"/>
      <c r="J313" s="54"/>
    </row>
    <row r="314" spans="7:10" ht="15.75" customHeight="1" x14ac:dyDescent="0.2">
      <c r="G314" s="54"/>
      <c r="H314" s="54"/>
      <c r="I314" s="54"/>
      <c r="J314" s="54"/>
    </row>
    <row r="315" spans="7:10" ht="15.75" customHeight="1" x14ac:dyDescent="0.2">
      <c r="G315" s="54"/>
      <c r="H315" s="54"/>
      <c r="I315" s="54"/>
      <c r="J315" s="54"/>
    </row>
    <row r="316" spans="7:10" ht="15.75" customHeight="1" x14ac:dyDescent="0.2">
      <c r="G316" s="54"/>
      <c r="H316" s="54"/>
      <c r="I316" s="54"/>
      <c r="J316" s="54"/>
    </row>
    <row r="317" spans="7:10" ht="15.75" customHeight="1" x14ac:dyDescent="0.2">
      <c r="G317" s="54"/>
      <c r="H317" s="54"/>
      <c r="I317" s="54"/>
      <c r="J317" s="54"/>
    </row>
    <row r="318" spans="7:10" ht="15.75" customHeight="1" x14ac:dyDescent="0.2">
      <c r="G318" s="54"/>
      <c r="H318" s="54"/>
      <c r="I318" s="54"/>
      <c r="J318" s="54"/>
    </row>
    <row r="319" spans="7:10" ht="15.75" customHeight="1" x14ac:dyDescent="0.2">
      <c r="G319" s="54"/>
      <c r="H319" s="54"/>
      <c r="I319" s="54"/>
      <c r="J319" s="54"/>
    </row>
    <row r="320" spans="7:10" ht="15.75" customHeight="1" x14ac:dyDescent="0.2">
      <c r="G320" s="54"/>
      <c r="H320" s="54"/>
      <c r="I320" s="54"/>
      <c r="J320" s="54"/>
    </row>
    <row r="321" spans="7:10" ht="15.75" customHeight="1" x14ac:dyDescent="0.2">
      <c r="G321" s="54"/>
      <c r="H321" s="54"/>
      <c r="I321" s="54"/>
      <c r="J321" s="54"/>
    </row>
    <row r="322" spans="7:10" ht="15.75" customHeight="1" x14ac:dyDescent="0.2">
      <c r="G322" s="54"/>
      <c r="H322" s="54"/>
      <c r="I322" s="54"/>
      <c r="J322" s="54"/>
    </row>
    <row r="323" spans="7:10" ht="15.75" customHeight="1" x14ac:dyDescent="0.2">
      <c r="G323" s="54"/>
      <c r="H323" s="54"/>
      <c r="I323" s="54"/>
      <c r="J323" s="54"/>
    </row>
    <row r="324" spans="7:10" ht="15.75" customHeight="1" x14ac:dyDescent="0.2">
      <c r="G324" s="54"/>
      <c r="H324" s="54"/>
      <c r="I324" s="54"/>
      <c r="J324" s="54"/>
    </row>
    <row r="325" spans="7:10" ht="15.75" customHeight="1" x14ac:dyDescent="0.2">
      <c r="G325" s="54"/>
      <c r="H325" s="54"/>
      <c r="I325" s="54"/>
      <c r="J325" s="54"/>
    </row>
    <row r="326" spans="7:10" ht="15.75" customHeight="1" x14ac:dyDescent="0.2">
      <c r="G326" s="54"/>
      <c r="H326" s="54"/>
      <c r="I326" s="54"/>
      <c r="J326" s="54"/>
    </row>
    <row r="327" spans="7:10" ht="15.75" customHeight="1" x14ac:dyDescent="0.2">
      <c r="G327" s="54"/>
      <c r="H327" s="54"/>
      <c r="I327" s="54"/>
      <c r="J327" s="54"/>
    </row>
    <row r="328" spans="7:10" ht="15.75" customHeight="1" x14ac:dyDescent="0.2">
      <c r="G328" s="54"/>
      <c r="H328" s="54"/>
      <c r="I328" s="54"/>
      <c r="J328" s="54"/>
    </row>
    <row r="329" spans="7:10" ht="15.75" customHeight="1" x14ac:dyDescent="0.2">
      <c r="G329" s="54"/>
      <c r="H329" s="54"/>
      <c r="I329" s="54"/>
      <c r="J329" s="54"/>
    </row>
    <row r="330" spans="7:10" ht="15.75" customHeight="1" x14ac:dyDescent="0.2">
      <c r="G330" s="54"/>
      <c r="H330" s="54"/>
      <c r="I330" s="54"/>
      <c r="J330" s="54"/>
    </row>
    <row r="331" spans="7:10" ht="15.75" customHeight="1" x14ac:dyDescent="0.2">
      <c r="G331" s="54"/>
      <c r="H331" s="54"/>
      <c r="I331" s="54"/>
      <c r="J331" s="54"/>
    </row>
    <row r="332" spans="7:10" ht="15.75" customHeight="1" x14ac:dyDescent="0.2">
      <c r="G332" s="54"/>
      <c r="H332" s="54"/>
      <c r="I332" s="54"/>
      <c r="J332" s="54"/>
    </row>
    <row r="333" spans="7:10" ht="15.75" customHeight="1" x14ac:dyDescent="0.2">
      <c r="G333" s="54"/>
      <c r="H333" s="54"/>
      <c r="I333" s="54"/>
      <c r="J333" s="54"/>
    </row>
    <row r="334" spans="7:10" ht="15.75" customHeight="1" x14ac:dyDescent="0.2">
      <c r="G334" s="54"/>
      <c r="H334" s="54"/>
      <c r="I334" s="54"/>
      <c r="J334" s="54"/>
    </row>
    <row r="335" spans="7:10" ht="15.75" customHeight="1" x14ac:dyDescent="0.2">
      <c r="G335" s="54"/>
      <c r="H335" s="54"/>
      <c r="I335" s="54"/>
      <c r="J335" s="54"/>
    </row>
    <row r="336" spans="7:10" ht="15.75" customHeight="1" x14ac:dyDescent="0.2">
      <c r="G336" s="54"/>
      <c r="H336" s="54"/>
      <c r="I336" s="54"/>
      <c r="J336" s="54"/>
    </row>
    <row r="337" spans="7:10" ht="15.75" customHeight="1" x14ac:dyDescent="0.2">
      <c r="G337" s="54"/>
      <c r="H337" s="54"/>
      <c r="I337" s="54"/>
      <c r="J337" s="54"/>
    </row>
    <row r="338" spans="7:10" ht="15.75" customHeight="1" x14ac:dyDescent="0.2">
      <c r="G338" s="54"/>
      <c r="H338" s="54"/>
      <c r="I338" s="54"/>
      <c r="J338" s="54"/>
    </row>
    <row r="339" spans="7:10" ht="15.75" customHeight="1" x14ac:dyDescent="0.2">
      <c r="G339" s="54"/>
      <c r="H339" s="54"/>
      <c r="I339" s="54"/>
      <c r="J339" s="54"/>
    </row>
    <row r="340" spans="7:10" ht="15.75" customHeight="1" x14ac:dyDescent="0.2">
      <c r="G340" s="54"/>
      <c r="H340" s="54"/>
      <c r="I340" s="54"/>
      <c r="J340" s="54"/>
    </row>
    <row r="341" spans="7:10" ht="15.75" customHeight="1" x14ac:dyDescent="0.2">
      <c r="G341" s="54"/>
      <c r="H341" s="54"/>
      <c r="I341" s="54"/>
      <c r="J341" s="54"/>
    </row>
    <row r="342" spans="7:10" ht="15.75" customHeight="1" x14ac:dyDescent="0.2">
      <c r="G342" s="54"/>
      <c r="H342" s="54"/>
      <c r="I342" s="54"/>
      <c r="J342" s="54"/>
    </row>
    <row r="343" spans="7:10" ht="15.75" customHeight="1" x14ac:dyDescent="0.2">
      <c r="G343" s="54"/>
      <c r="H343" s="54"/>
      <c r="I343" s="54"/>
      <c r="J343" s="54"/>
    </row>
    <row r="344" spans="7:10" ht="15.75" customHeight="1" x14ac:dyDescent="0.2">
      <c r="G344" s="54"/>
      <c r="H344" s="54"/>
      <c r="I344" s="54"/>
      <c r="J344" s="54"/>
    </row>
    <row r="345" spans="7:10" ht="15.75" customHeight="1" x14ac:dyDescent="0.2">
      <c r="G345" s="54"/>
      <c r="H345" s="54"/>
      <c r="I345" s="54"/>
      <c r="J345" s="54"/>
    </row>
    <row r="346" spans="7:10" ht="15.75" customHeight="1" x14ac:dyDescent="0.2">
      <c r="G346" s="54"/>
      <c r="H346" s="54"/>
      <c r="I346" s="54"/>
      <c r="J346" s="54"/>
    </row>
    <row r="347" spans="7:10" ht="15.75" customHeight="1" x14ac:dyDescent="0.2">
      <c r="G347" s="54"/>
      <c r="H347" s="54"/>
      <c r="I347" s="54"/>
      <c r="J347" s="54"/>
    </row>
    <row r="348" spans="7:10" ht="15.75" customHeight="1" x14ac:dyDescent="0.2">
      <c r="G348" s="54"/>
      <c r="H348" s="54"/>
      <c r="I348" s="54"/>
      <c r="J348" s="54"/>
    </row>
    <row r="349" spans="7:10" ht="15.75" customHeight="1" x14ac:dyDescent="0.2">
      <c r="G349" s="54"/>
      <c r="H349" s="54"/>
      <c r="I349" s="54"/>
      <c r="J349" s="54"/>
    </row>
    <row r="350" spans="7:10" ht="15.75" customHeight="1" x14ac:dyDescent="0.2">
      <c r="G350" s="54"/>
      <c r="H350" s="54"/>
      <c r="I350" s="54"/>
      <c r="J350" s="54"/>
    </row>
    <row r="351" spans="7:10" ht="15.75" customHeight="1" x14ac:dyDescent="0.2">
      <c r="G351" s="54"/>
      <c r="H351" s="54"/>
      <c r="I351" s="54"/>
      <c r="J351" s="54"/>
    </row>
    <row r="352" spans="7:10" ht="15.75" customHeight="1" x14ac:dyDescent="0.2">
      <c r="G352" s="54"/>
      <c r="H352" s="54"/>
      <c r="I352" s="54"/>
      <c r="J352" s="54"/>
    </row>
    <row r="353" spans="7:10" ht="15.75" customHeight="1" x14ac:dyDescent="0.2">
      <c r="G353" s="54"/>
      <c r="H353" s="54"/>
      <c r="I353" s="54"/>
      <c r="J353" s="54"/>
    </row>
    <row r="354" spans="7:10" ht="15.75" customHeight="1" x14ac:dyDescent="0.2">
      <c r="G354" s="54"/>
      <c r="H354" s="54"/>
      <c r="I354" s="54"/>
      <c r="J354" s="54"/>
    </row>
    <row r="355" spans="7:10" ht="15.75" customHeight="1" x14ac:dyDescent="0.2">
      <c r="G355" s="54"/>
      <c r="H355" s="54"/>
      <c r="I355" s="54"/>
      <c r="J355" s="54"/>
    </row>
    <row r="356" spans="7:10" ht="15.75" customHeight="1" x14ac:dyDescent="0.2">
      <c r="G356" s="54"/>
      <c r="H356" s="54"/>
      <c r="I356" s="54"/>
      <c r="J356" s="54"/>
    </row>
    <row r="357" spans="7:10" ht="15.75" customHeight="1" x14ac:dyDescent="0.2">
      <c r="G357" s="54"/>
      <c r="H357" s="54"/>
      <c r="I357" s="54"/>
      <c r="J357" s="54"/>
    </row>
    <row r="358" spans="7:10" ht="15.75" customHeight="1" x14ac:dyDescent="0.2">
      <c r="G358" s="54"/>
      <c r="H358" s="54"/>
      <c r="I358" s="54"/>
      <c r="J358" s="54"/>
    </row>
    <row r="359" spans="7:10" ht="15.75" customHeight="1" x14ac:dyDescent="0.2">
      <c r="G359" s="54"/>
      <c r="H359" s="54"/>
      <c r="I359" s="54"/>
      <c r="J359" s="54"/>
    </row>
    <row r="360" spans="7:10" ht="15.75" customHeight="1" x14ac:dyDescent="0.2">
      <c r="G360" s="54"/>
      <c r="H360" s="54"/>
      <c r="I360" s="54"/>
      <c r="J360" s="54"/>
    </row>
    <row r="361" spans="7:10" ht="15.75" customHeight="1" x14ac:dyDescent="0.2">
      <c r="G361" s="54"/>
      <c r="H361" s="54"/>
      <c r="I361" s="54"/>
      <c r="J361" s="54"/>
    </row>
    <row r="362" spans="7:10" ht="15.75" customHeight="1" x14ac:dyDescent="0.2">
      <c r="G362" s="54"/>
      <c r="H362" s="54"/>
      <c r="I362" s="54"/>
      <c r="J362" s="54"/>
    </row>
    <row r="363" spans="7:10" ht="15.75" customHeight="1" x14ac:dyDescent="0.2">
      <c r="G363" s="54"/>
      <c r="H363" s="54"/>
      <c r="I363" s="54"/>
      <c r="J363" s="54"/>
    </row>
    <row r="364" spans="7:10" ht="15.75" customHeight="1" x14ac:dyDescent="0.2">
      <c r="G364" s="54"/>
      <c r="H364" s="54"/>
      <c r="I364" s="54"/>
      <c r="J364" s="54"/>
    </row>
    <row r="365" spans="7:10" ht="15.75" customHeight="1" x14ac:dyDescent="0.2">
      <c r="G365" s="54"/>
      <c r="H365" s="54"/>
      <c r="I365" s="54"/>
      <c r="J365" s="54"/>
    </row>
    <row r="366" spans="7:10" ht="15.75" customHeight="1" x14ac:dyDescent="0.2">
      <c r="G366" s="54"/>
      <c r="H366" s="54"/>
      <c r="I366" s="54"/>
      <c r="J366" s="54"/>
    </row>
    <row r="367" spans="7:10" ht="15.75" customHeight="1" x14ac:dyDescent="0.2">
      <c r="G367" s="54"/>
      <c r="H367" s="54"/>
      <c r="I367" s="54"/>
      <c r="J367" s="54"/>
    </row>
    <row r="368" spans="7:10" ht="15.75" customHeight="1" x14ac:dyDescent="0.2">
      <c r="G368" s="54"/>
      <c r="H368" s="54"/>
      <c r="I368" s="54"/>
      <c r="J368" s="54"/>
    </row>
    <row r="369" spans="7:10" ht="15.75" customHeight="1" x14ac:dyDescent="0.2">
      <c r="G369" s="54"/>
      <c r="H369" s="54"/>
      <c r="I369" s="54"/>
      <c r="J369" s="54"/>
    </row>
    <row r="370" spans="7:10" ht="15.75" customHeight="1" x14ac:dyDescent="0.2">
      <c r="G370" s="54"/>
      <c r="H370" s="54"/>
      <c r="I370" s="54"/>
      <c r="J370" s="54"/>
    </row>
    <row r="371" spans="7:10" ht="15.75" customHeight="1" x14ac:dyDescent="0.2">
      <c r="G371" s="54"/>
      <c r="H371" s="54"/>
      <c r="I371" s="54"/>
      <c r="J371" s="54"/>
    </row>
    <row r="372" spans="7:10" ht="15.75" customHeight="1" x14ac:dyDescent="0.2">
      <c r="G372" s="54"/>
      <c r="H372" s="54"/>
      <c r="I372" s="54"/>
      <c r="J372" s="54"/>
    </row>
    <row r="373" spans="7:10" ht="15.75" customHeight="1" x14ac:dyDescent="0.2">
      <c r="G373" s="54"/>
      <c r="H373" s="54"/>
      <c r="I373" s="54"/>
      <c r="J373" s="54"/>
    </row>
    <row r="374" spans="7:10" ht="15.75" customHeight="1" x14ac:dyDescent="0.2">
      <c r="G374" s="54"/>
      <c r="H374" s="54"/>
      <c r="I374" s="54"/>
      <c r="J374" s="54"/>
    </row>
    <row r="375" spans="7:10" ht="15.75" customHeight="1" x14ac:dyDescent="0.2">
      <c r="G375" s="54"/>
      <c r="H375" s="54"/>
      <c r="I375" s="54"/>
      <c r="J375" s="54"/>
    </row>
    <row r="376" spans="7:10" ht="15.75" customHeight="1" x14ac:dyDescent="0.2">
      <c r="G376" s="54"/>
      <c r="H376" s="54"/>
      <c r="I376" s="54"/>
      <c r="J376" s="54"/>
    </row>
    <row r="377" spans="7:10" ht="15.75" customHeight="1" x14ac:dyDescent="0.2">
      <c r="G377" s="54"/>
      <c r="H377" s="54"/>
      <c r="I377" s="54"/>
      <c r="J377" s="54"/>
    </row>
    <row r="378" spans="7:10" ht="15.75" customHeight="1" x14ac:dyDescent="0.2">
      <c r="G378" s="54"/>
      <c r="H378" s="54"/>
      <c r="I378" s="54"/>
      <c r="J378" s="54"/>
    </row>
    <row r="379" spans="7:10" ht="15.75" customHeight="1" x14ac:dyDescent="0.2">
      <c r="G379" s="54"/>
      <c r="H379" s="54"/>
      <c r="I379" s="54"/>
      <c r="J379" s="54"/>
    </row>
    <row r="380" spans="7:10" ht="15.75" customHeight="1" x14ac:dyDescent="0.2">
      <c r="G380" s="54"/>
      <c r="H380" s="54"/>
      <c r="I380" s="54"/>
      <c r="J380" s="54"/>
    </row>
    <row r="381" spans="7:10" ht="15.75" customHeight="1" x14ac:dyDescent="0.2">
      <c r="G381" s="54"/>
      <c r="H381" s="54"/>
      <c r="I381" s="54"/>
      <c r="J381" s="54"/>
    </row>
    <row r="382" spans="7:10" ht="15.75" customHeight="1" x14ac:dyDescent="0.2">
      <c r="G382" s="54"/>
      <c r="H382" s="54"/>
      <c r="I382" s="54"/>
      <c r="J382" s="54"/>
    </row>
    <row r="383" spans="7:10" ht="15.75" customHeight="1" x14ac:dyDescent="0.2">
      <c r="G383" s="54"/>
      <c r="H383" s="54"/>
      <c r="I383" s="54"/>
      <c r="J383" s="54"/>
    </row>
    <row r="384" spans="7:10" ht="15.75" customHeight="1" x14ac:dyDescent="0.2">
      <c r="G384" s="54"/>
      <c r="H384" s="54"/>
      <c r="I384" s="54"/>
      <c r="J384" s="54"/>
    </row>
    <row r="385" spans="7:10" ht="15.75" customHeight="1" x14ac:dyDescent="0.2">
      <c r="G385" s="54"/>
      <c r="H385" s="54"/>
      <c r="I385" s="54"/>
      <c r="J385" s="54"/>
    </row>
    <row r="386" spans="7:10" ht="15.75" customHeight="1" x14ac:dyDescent="0.2">
      <c r="G386" s="54"/>
      <c r="H386" s="54"/>
      <c r="I386" s="54"/>
      <c r="J386" s="54"/>
    </row>
    <row r="387" spans="7:10" ht="15.75" customHeight="1" x14ac:dyDescent="0.2">
      <c r="G387" s="54"/>
      <c r="H387" s="54"/>
      <c r="I387" s="54"/>
      <c r="J387" s="54"/>
    </row>
    <row r="388" spans="7:10" ht="15.75" customHeight="1" x14ac:dyDescent="0.2">
      <c r="G388" s="54"/>
      <c r="H388" s="54"/>
      <c r="I388" s="54"/>
      <c r="J388" s="54"/>
    </row>
    <row r="389" spans="7:10" ht="15.75" customHeight="1" x14ac:dyDescent="0.2">
      <c r="G389" s="54"/>
      <c r="H389" s="54"/>
      <c r="I389" s="54"/>
      <c r="J389" s="54"/>
    </row>
    <row r="390" spans="7:10" ht="15.75" customHeight="1" x14ac:dyDescent="0.2">
      <c r="G390" s="54"/>
      <c r="H390" s="54"/>
      <c r="I390" s="54"/>
      <c r="J390" s="54"/>
    </row>
    <row r="391" spans="7:10" ht="15.75" customHeight="1" x14ac:dyDescent="0.2">
      <c r="G391" s="54"/>
      <c r="H391" s="54"/>
      <c r="I391" s="54"/>
      <c r="J391" s="54"/>
    </row>
    <row r="392" spans="7:10" ht="15.75" customHeight="1" x14ac:dyDescent="0.2">
      <c r="G392" s="54"/>
      <c r="H392" s="54"/>
      <c r="I392" s="54"/>
      <c r="J392" s="54"/>
    </row>
    <row r="393" spans="7:10" ht="15.75" customHeight="1" x14ac:dyDescent="0.2">
      <c r="G393" s="54"/>
      <c r="H393" s="54"/>
      <c r="I393" s="54"/>
      <c r="J393" s="54"/>
    </row>
    <row r="394" spans="7:10" ht="15.75" customHeight="1" x14ac:dyDescent="0.2">
      <c r="G394" s="54"/>
      <c r="H394" s="54"/>
      <c r="I394" s="54"/>
      <c r="J394" s="54"/>
    </row>
    <row r="395" spans="7:10" ht="15.75" customHeight="1" x14ac:dyDescent="0.2">
      <c r="G395" s="54"/>
      <c r="H395" s="54"/>
      <c r="I395" s="54"/>
      <c r="J395" s="54"/>
    </row>
    <row r="396" spans="7:10" ht="15.75" customHeight="1" x14ac:dyDescent="0.2">
      <c r="G396" s="54"/>
      <c r="H396" s="54"/>
      <c r="I396" s="54"/>
      <c r="J396" s="54"/>
    </row>
    <row r="397" spans="7:10" ht="15.75" customHeight="1" x14ac:dyDescent="0.2">
      <c r="G397" s="54"/>
      <c r="H397" s="54"/>
      <c r="I397" s="54"/>
      <c r="J397" s="54"/>
    </row>
    <row r="398" spans="7:10" ht="15.75" customHeight="1" x14ac:dyDescent="0.2">
      <c r="G398" s="54"/>
      <c r="H398" s="54"/>
      <c r="I398" s="54"/>
      <c r="J398" s="54"/>
    </row>
    <row r="399" spans="7:10" ht="15.75" customHeight="1" x14ac:dyDescent="0.2">
      <c r="G399" s="54"/>
      <c r="H399" s="54"/>
      <c r="I399" s="54"/>
      <c r="J399" s="54"/>
    </row>
    <row r="400" spans="7:10" ht="15.75" customHeight="1" x14ac:dyDescent="0.2">
      <c r="G400" s="54"/>
      <c r="H400" s="54"/>
      <c r="I400" s="54"/>
      <c r="J400" s="54"/>
    </row>
    <row r="401" spans="7:10" ht="15.75" customHeight="1" x14ac:dyDescent="0.2">
      <c r="G401" s="54"/>
      <c r="H401" s="54"/>
      <c r="I401" s="54"/>
      <c r="J401" s="54"/>
    </row>
    <row r="402" spans="7:10" ht="15.75" customHeight="1" x14ac:dyDescent="0.2">
      <c r="G402" s="54"/>
      <c r="H402" s="54"/>
      <c r="I402" s="54"/>
      <c r="J402" s="54"/>
    </row>
    <row r="403" spans="7:10" ht="15.75" customHeight="1" x14ac:dyDescent="0.2">
      <c r="G403" s="54"/>
      <c r="H403" s="54"/>
      <c r="I403" s="54"/>
      <c r="J403" s="54"/>
    </row>
    <row r="404" spans="7:10" ht="15.75" customHeight="1" x14ac:dyDescent="0.2">
      <c r="G404" s="54"/>
      <c r="H404" s="54"/>
      <c r="I404" s="54"/>
      <c r="J404" s="54"/>
    </row>
    <row r="405" spans="7:10" ht="15.75" customHeight="1" x14ac:dyDescent="0.2">
      <c r="G405" s="54"/>
      <c r="H405" s="54"/>
      <c r="I405" s="54"/>
      <c r="J405" s="54"/>
    </row>
    <row r="406" spans="7:10" ht="15.75" customHeight="1" x14ac:dyDescent="0.2">
      <c r="G406" s="54"/>
      <c r="H406" s="54"/>
      <c r="I406" s="54"/>
      <c r="J406" s="54"/>
    </row>
    <row r="407" spans="7:10" ht="15.75" customHeight="1" x14ac:dyDescent="0.2">
      <c r="G407" s="54"/>
      <c r="H407" s="54"/>
      <c r="I407" s="54"/>
      <c r="J407" s="54"/>
    </row>
    <row r="408" spans="7:10" ht="15.75" customHeight="1" x14ac:dyDescent="0.2">
      <c r="G408" s="54"/>
      <c r="H408" s="54"/>
      <c r="I408" s="54"/>
      <c r="J408" s="54"/>
    </row>
    <row r="409" spans="7:10" ht="15.75" customHeight="1" x14ac:dyDescent="0.2">
      <c r="G409" s="54"/>
      <c r="H409" s="54"/>
      <c r="I409" s="54"/>
      <c r="J409" s="54"/>
    </row>
    <row r="410" spans="7:10" ht="15.75" customHeight="1" x14ac:dyDescent="0.2">
      <c r="G410" s="54"/>
      <c r="H410" s="54"/>
      <c r="I410" s="54"/>
      <c r="J410" s="54"/>
    </row>
    <row r="411" spans="7:10" ht="15.75" customHeight="1" x14ac:dyDescent="0.2">
      <c r="G411" s="54"/>
      <c r="H411" s="54"/>
      <c r="I411" s="54"/>
      <c r="J411" s="54"/>
    </row>
    <row r="412" spans="7:10" ht="15.75" customHeight="1" x14ac:dyDescent="0.2">
      <c r="G412" s="54"/>
      <c r="H412" s="54"/>
      <c r="I412" s="54"/>
      <c r="J412" s="54"/>
    </row>
    <row r="413" spans="7:10" ht="15.75" customHeight="1" x14ac:dyDescent="0.2">
      <c r="G413" s="54"/>
      <c r="H413" s="54"/>
      <c r="I413" s="54"/>
      <c r="J413" s="54"/>
    </row>
    <row r="414" spans="7:10" ht="15.75" customHeight="1" x14ac:dyDescent="0.2">
      <c r="G414" s="54"/>
      <c r="H414" s="54"/>
      <c r="I414" s="54"/>
      <c r="J414" s="54"/>
    </row>
    <row r="415" spans="7:10" ht="15.75" customHeight="1" x14ac:dyDescent="0.2">
      <c r="G415" s="54"/>
      <c r="H415" s="54"/>
      <c r="I415" s="54"/>
      <c r="J415" s="54"/>
    </row>
    <row r="416" spans="7:10" ht="15.75" customHeight="1" x14ac:dyDescent="0.2">
      <c r="G416" s="54"/>
      <c r="H416" s="54"/>
      <c r="I416" s="54"/>
      <c r="J416" s="54"/>
    </row>
    <row r="417" spans="7:10" ht="15.75" customHeight="1" x14ac:dyDescent="0.2">
      <c r="G417" s="54"/>
      <c r="H417" s="54"/>
      <c r="I417" s="54"/>
      <c r="J417" s="54"/>
    </row>
    <row r="418" spans="7:10" ht="15.75" customHeight="1" x14ac:dyDescent="0.2">
      <c r="G418" s="54"/>
      <c r="H418" s="54"/>
      <c r="I418" s="54"/>
      <c r="J418" s="54"/>
    </row>
    <row r="419" spans="7:10" ht="15.75" customHeight="1" x14ac:dyDescent="0.2">
      <c r="G419" s="54"/>
      <c r="H419" s="54"/>
      <c r="I419" s="54"/>
      <c r="J419" s="54"/>
    </row>
    <row r="420" spans="7:10" ht="15.75" customHeight="1" x14ac:dyDescent="0.2">
      <c r="G420" s="54"/>
      <c r="H420" s="54"/>
      <c r="I420" s="54"/>
      <c r="J420" s="54"/>
    </row>
    <row r="421" spans="7:10" ht="15.75" customHeight="1" x14ac:dyDescent="0.2">
      <c r="G421" s="54"/>
      <c r="H421" s="54"/>
      <c r="I421" s="54"/>
      <c r="J421" s="54"/>
    </row>
    <row r="422" spans="7:10" ht="15.75" customHeight="1" x14ac:dyDescent="0.2">
      <c r="G422" s="54"/>
      <c r="H422" s="54"/>
      <c r="I422" s="54"/>
      <c r="J422" s="54"/>
    </row>
    <row r="423" spans="7:10" ht="15.75" customHeight="1" x14ac:dyDescent="0.2">
      <c r="G423" s="54"/>
      <c r="H423" s="54"/>
      <c r="I423" s="54"/>
      <c r="J423" s="54"/>
    </row>
    <row r="424" spans="7:10" ht="15.75" customHeight="1" x14ac:dyDescent="0.2">
      <c r="G424" s="54"/>
      <c r="H424" s="54"/>
      <c r="I424" s="54"/>
      <c r="J424" s="54"/>
    </row>
    <row r="425" spans="7:10" ht="15.75" customHeight="1" x14ac:dyDescent="0.2">
      <c r="G425" s="54"/>
      <c r="H425" s="54"/>
      <c r="I425" s="54"/>
      <c r="J425" s="54"/>
    </row>
    <row r="426" spans="7:10" ht="15.75" customHeight="1" x14ac:dyDescent="0.2">
      <c r="G426" s="54"/>
      <c r="H426" s="54"/>
      <c r="I426" s="54"/>
      <c r="J426" s="54"/>
    </row>
    <row r="427" spans="7:10" ht="15.75" customHeight="1" x14ac:dyDescent="0.2">
      <c r="G427" s="54"/>
      <c r="H427" s="54"/>
      <c r="I427" s="54"/>
      <c r="J427" s="54"/>
    </row>
    <row r="428" spans="7:10" ht="15.75" customHeight="1" x14ac:dyDescent="0.2">
      <c r="G428" s="54"/>
      <c r="H428" s="54"/>
      <c r="I428" s="54"/>
      <c r="J428" s="54"/>
    </row>
    <row r="429" spans="7:10" ht="15.75" customHeight="1" x14ac:dyDescent="0.2">
      <c r="G429" s="54"/>
      <c r="H429" s="54"/>
      <c r="I429" s="54"/>
      <c r="J429" s="54"/>
    </row>
    <row r="430" spans="7:10" ht="15.75" customHeight="1" x14ac:dyDescent="0.2">
      <c r="G430" s="54"/>
      <c r="H430" s="54"/>
      <c r="I430" s="54"/>
      <c r="J430" s="54"/>
    </row>
    <row r="431" spans="7:10" ht="15.75" customHeight="1" x14ac:dyDescent="0.2">
      <c r="G431" s="54"/>
      <c r="H431" s="54"/>
      <c r="I431" s="54"/>
      <c r="J431" s="54"/>
    </row>
    <row r="432" spans="7:10" ht="15.75" customHeight="1" x14ac:dyDescent="0.2">
      <c r="G432" s="54"/>
      <c r="H432" s="54"/>
      <c r="I432" s="54"/>
      <c r="J432" s="54"/>
    </row>
    <row r="433" spans="7:10" ht="15.75" customHeight="1" x14ac:dyDescent="0.2">
      <c r="G433" s="54"/>
      <c r="H433" s="54"/>
      <c r="I433" s="54"/>
      <c r="J433" s="54"/>
    </row>
    <row r="434" spans="7:10" ht="15.75" customHeight="1" x14ac:dyDescent="0.2">
      <c r="G434" s="54"/>
      <c r="H434" s="54"/>
      <c r="I434" s="54"/>
      <c r="J434" s="54"/>
    </row>
    <row r="435" spans="7:10" ht="15.75" customHeight="1" x14ac:dyDescent="0.2">
      <c r="G435" s="54"/>
      <c r="H435" s="54"/>
      <c r="I435" s="54"/>
      <c r="J435" s="54"/>
    </row>
    <row r="436" spans="7:10" ht="15.75" customHeight="1" x14ac:dyDescent="0.2">
      <c r="G436" s="54"/>
      <c r="H436" s="54"/>
      <c r="I436" s="54"/>
      <c r="J436" s="54"/>
    </row>
    <row r="437" spans="7:10" ht="15.75" customHeight="1" x14ac:dyDescent="0.2">
      <c r="G437" s="54"/>
      <c r="H437" s="54"/>
      <c r="I437" s="54"/>
      <c r="J437" s="54"/>
    </row>
    <row r="438" spans="7:10" ht="15.75" customHeight="1" x14ac:dyDescent="0.2">
      <c r="G438" s="54"/>
      <c r="H438" s="54"/>
      <c r="I438" s="54"/>
      <c r="J438" s="54"/>
    </row>
    <row r="439" spans="7:10" ht="15.75" customHeight="1" x14ac:dyDescent="0.2">
      <c r="G439" s="54"/>
      <c r="H439" s="54"/>
      <c r="I439" s="54"/>
      <c r="J439" s="54"/>
    </row>
    <row r="440" spans="7:10" ht="15.75" customHeight="1" x14ac:dyDescent="0.2">
      <c r="G440" s="54"/>
      <c r="H440" s="54"/>
      <c r="I440" s="54"/>
      <c r="J440" s="54"/>
    </row>
    <row r="441" spans="7:10" ht="15.75" customHeight="1" x14ac:dyDescent="0.2">
      <c r="G441" s="54"/>
      <c r="H441" s="54"/>
      <c r="I441" s="54"/>
      <c r="J441" s="54"/>
    </row>
    <row r="442" spans="7:10" ht="15.75" customHeight="1" x14ac:dyDescent="0.2">
      <c r="G442" s="54"/>
      <c r="H442" s="54"/>
      <c r="I442" s="54"/>
      <c r="J442" s="54"/>
    </row>
    <row r="443" spans="7:10" ht="15.75" customHeight="1" x14ac:dyDescent="0.2">
      <c r="G443" s="54"/>
      <c r="H443" s="54"/>
      <c r="I443" s="54"/>
      <c r="J443" s="54"/>
    </row>
    <row r="444" spans="7:10" ht="15.75" customHeight="1" x14ac:dyDescent="0.2">
      <c r="G444" s="54"/>
      <c r="H444" s="54"/>
      <c r="I444" s="54"/>
      <c r="J444" s="54"/>
    </row>
    <row r="445" spans="7:10" ht="15.75" customHeight="1" x14ac:dyDescent="0.2">
      <c r="G445" s="54"/>
      <c r="H445" s="54"/>
      <c r="I445" s="54"/>
      <c r="J445" s="54"/>
    </row>
    <row r="446" spans="7:10" ht="15.75" customHeight="1" x14ac:dyDescent="0.2">
      <c r="G446" s="54"/>
      <c r="H446" s="54"/>
      <c r="I446" s="54"/>
      <c r="J446" s="54"/>
    </row>
    <row r="447" spans="7:10" ht="15.75" customHeight="1" x14ac:dyDescent="0.2">
      <c r="G447" s="54"/>
      <c r="H447" s="54"/>
      <c r="I447" s="54"/>
      <c r="J447" s="54"/>
    </row>
    <row r="448" spans="7:10" ht="15.75" customHeight="1" x14ac:dyDescent="0.2">
      <c r="G448" s="54"/>
      <c r="H448" s="54"/>
      <c r="I448" s="54"/>
      <c r="J448" s="54"/>
    </row>
    <row r="449" spans="7:10" ht="15.75" customHeight="1" x14ac:dyDescent="0.2">
      <c r="G449" s="54"/>
      <c r="H449" s="54"/>
      <c r="I449" s="54"/>
      <c r="J449" s="54"/>
    </row>
    <row r="450" spans="7:10" ht="15.75" customHeight="1" x14ac:dyDescent="0.2">
      <c r="G450" s="54"/>
      <c r="H450" s="54"/>
      <c r="I450" s="54"/>
      <c r="J450" s="54"/>
    </row>
    <row r="451" spans="7:10" ht="15.75" customHeight="1" x14ac:dyDescent="0.2">
      <c r="G451" s="54"/>
      <c r="H451" s="54"/>
      <c r="I451" s="54"/>
      <c r="J451" s="54"/>
    </row>
    <row r="452" spans="7:10" ht="15.75" customHeight="1" x14ac:dyDescent="0.2">
      <c r="G452" s="54"/>
      <c r="H452" s="54"/>
      <c r="I452" s="54"/>
      <c r="J452" s="54"/>
    </row>
    <row r="453" spans="7:10" ht="15.75" customHeight="1" x14ac:dyDescent="0.2">
      <c r="G453" s="54"/>
      <c r="H453" s="54"/>
      <c r="I453" s="54"/>
      <c r="J453" s="54"/>
    </row>
    <row r="454" spans="7:10" ht="15.75" customHeight="1" x14ac:dyDescent="0.2">
      <c r="G454" s="54"/>
      <c r="H454" s="54"/>
      <c r="I454" s="54"/>
      <c r="J454" s="54"/>
    </row>
    <row r="455" spans="7:10" ht="15.75" customHeight="1" x14ac:dyDescent="0.2">
      <c r="G455" s="54"/>
      <c r="H455" s="54"/>
      <c r="I455" s="54"/>
      <c r="J455" s="54"/>
    </row>
    <row r="456" spans="7:10" ht="15.75" customHeight="1" x14ac:dyDescent="0.2">
      <c r="G456" s="54"/>
      <c r="H456" s="54"/>
      <c r="I456" s="54"/>
      <c r="J456" s="54"/>
    </row>
    <row r="457" spans="7:10" ht="15.75" customHeight="1" x14ac:dyDescent="0.2">
      <c r="G457" s="54"/>
      <c r="H457" s="54"/>
      <c r="I457" s="54"/>
      <c r="J457" s="54"/>
    </row>
    <row r="458" spans="7:10" ht="15.75" customHeight="1" x14ac:dyDescent="0.2">
      <c r="G458" s="54"/>
      <c r="H458" s="54"/>
      <c r="I458" s="54"/>
      <c r="J458" s="54"/>
    </row>
    <row r="459" spans="7:10" ht="15.75" customHeight="1" x14ac:dyDescent="0.2">
      <c r="G459" s="54"/>
      <c r="H459" s="54"/>
      <c r="I459" s="54"/>
      <c r="J459" s="54"/>
    </row>
    <row r="460" spans="7:10" ht="15.75" customHeight="1" x14ac:dyDescent="0.2">
      <c r="G460" s="54"/>
      <c r="H460" s="54"/>
      <c r="I460" s="54"/>
      <c r="J460" s="54"/>
    </row>
    <row r="461" spans="7:10" ht="15.75" customHeight="1" x14ac:dyDescent="0.2">
      <c r="G461" s="54"/>
      <c r="H461" s="54"/>
      <c r="I461" s="54"/>
      <c r="J461" s="54"/>
    </row>
    <row r="462" spans="7:10" ht="15.75" customHeight="1" x14ac:dyDescent="0.2">
      <c r="G462" s="54"/>
      <c r="H462" s="54"/>
      <c r="I462" s="54"/>
      <c r="J462" s="54"/>
    </row>
    <row r="463" spans="7:10" ht="15.75" customHeight="1" x14ac:dyDescent="0.2">
      <c r="G463" s="54"/>
      <c r="H463" s="54"/>
      <c r="I463" s="54"/>
      <c r="J463" s="54"/>
    </row>
    <row r="464" spans="7:10" ht="15.75" customHeight="1" x14ac:dyDescent="0.2">
      <c r="G464" s="54"/>
      <c r="H464" s="54"/>
      <c r="I464" s="54"/>
      <c r="J464" s="54"/>
    </row>
    <row r="465" spans="7:10" ht="15.75" customHeight="1" x14ac:dyDescent="0.2">
      <c r="G465" s="54"/>
      <c r="H465" s="54"/>
      <c r="I465" s="54"/>
      <c r="J465" s="54"/>
    </row>
    <row r="466" spans="7:10" ht="15.75" customHeight="1" x14ac:dyDescent="0.2">
      <c r="G466" s="54"/>
      <c r="H466" s="54"/>
      <c r="I466" s="54"/>
      <c r="J466" s="54"/>
    </row>
    <row r="467" spans="7:10" ht="15.75" customHeight="1" x14ac:dyDescent="0.2">
      <c r="G467" s="54"/>
      <c r="H467" s="54"/>
      <c r="I467" s="54"/>
      <c r="J467" s="54"/>
    </row>
    <row r="468" spans="7:10" ht="15.75" customHeight="1" x14ac:dyDescent="0.2">
      <c r="G468" s="54"/>
      <c r="H468" s="54"/>
      <c r="I468" s="54"/>
      <c r="J468" s="54"/>
    </row>
    <row r="469" spans="7:10" ht="15.75" customHeight="1" x14ac:dyDescent="0.2">
      <c r="G469" s="54"/>
      <c r="H469" s="54"/>
      <c r="I469" s="54"/>
      <c r="J469" s="54"/>
    </row>
    <row r="470" spans="7:10" ht="15.75" customHeight="1" x14ac:dyDescent="0.2">
      <c r="G470" s="54"/>
      <c r="H470" s="54"/>
      <c r="I470" s="54"/>
      <c r="J470" s="54"/>
    </row>
    <row r="471" spans="7:10" ht="15.75" customHeight="1" x14ac:dyDescent="0.2">
      <c r="G471" s="54"/>
      <c r="H471" s="54"/>
      <c r="I471" s="54"/>
      <c r="J471" s="54"/>
    </row>
    <row r="472" spans="7:10" ht="15.75" customHeight="1" x14ac:dyDescent="0.2">
      <c r="G472" s="54"/>
      <c r="H472" s="54"/>
      <c r="I472" s="54"/>
      <c r="J472" s="54"/>
    </row>
    <row r="473" spans="7:10" ht="15.75" customHeight="1" x14ac:dyDescent="0.2">
      <c r="G473" s="54"/>
      <c r="H473" s="54"/>
      <c r="I473" s="54"/>
      <c r="J473" s="54"/>
    </row>
    <row r="474" spans="7:10" ht="15.75" customHeight="1" x14ac:dyDescent="0.2">
      <c r="G474" s="54"/>
      <c r="H474" s="54"/>
      <c r="I474" s="54"/>
      <c r="J474" s="54"/>
    </row>
    <row r="475" spans="7:10" ht="15.75" customHeight="1" x14ac:dyDescent="0.2">
      <c r="G475" s="54"/>
      <c r="H475" s="54"/>
      <c r="I475" s="54"/>
      <c r="J475" s="54"/>
    </row>
    <row r="476" spans="7:10" ht="15.75" customHeight="1" x14ac:dyDescent="0.2">
      <c r="G476" s="54"/>
      <c r="H476" s="54"/>
      <c r="I476" s="54"/>
      <c r="J476" s="54"/>
    </row>
    <row r="477" spans="7:10" ht="15.75" customHeight="1" x14ac:dyDescent="0.2">
      <c r="G477" s="54"/>
      <c r="H477" s="54"/>
      <c r="I477" s="54"/>
      <c r="J477" s="54"/>
    </row>
    <row r="478" spans="7:10" ht="15.75" customHeight="1" x14ac:dyDescent="0.2">
      <c r="G478" s="54"/>
      <c r="H478" s="54"/>
      <c r="I478" s="54"/>
      <c r="J478" s="54"/>
    </row>
    <row r="479" spans="7:10" ht="15.75" customHeight="1" x14ac:dyDescent="0.2">
      <c r="G479" s="54"/>
      <c r="H479" s="54"/>
      <c r="I479" s="54"/>
      <c r="J479" s="54"/>
    </row>
    <row r="480" spans="7:10" ht="15.75" customHeight="1" x14ac:dyDescent="0.2">
      <c r="G480" s="54"/>
      <c r="H480" s="54"/>
      <c r="I480" s="54"/>
      <c r="J480" s="54"/>
    </row>
    <row r="481" spans="7:10" ht="15.75" customHeight="1" x14ac:dyDescent="0.2">
      <c r="G481" s="54"/>
      <c r="H481" s="54"/>
      <c r="I481" s="54"/>
      <c r="J481" s="54"/>
    </row>
    <row r="482" spans="7:10" ht="15.75" customHeight="1" x14ac:dyDescent="0.2">
      <c r="G482" s="54"/>
      <c r="H482" s="54"/>
      <c r="I482" s="54"/>
      <c r="J482" s="54"/>
    </row>
    <row r="483" spans="7:10" ht="15.75" customHeight="1" x14ac:dyDescent="0.2">
      <c r="G483" s="54"/>
      <c r="H483" s="54"/>
      <c r="I483" s="54"/>
      <c r="J483" s="54"/>
    </row>
    <row r="484" spans="7:10" ht="15.75" customHeight="1" x14ac:dyDescent="0.2">
      <c r="G484" s="54"/>
      <c r="H484" s="54"/>
      <c r="I484" s="54"/>
      <c r="J484" s="54"/>
    </row>
    <row r="485" spans="7:10" ht="15.75" customHeight="1" x14ac:dyDescent="0.2">
      <c r="G485" s="54"/>
      <c r="H485" s="54"/>
      <c r="I485" s="54"/>
      <c r="J485" s="54"/>
    </row>
    <row r="486" spans="7:10" ht="15.75" customHeight="1" x14ac:dyDescent="0.2">
      <c r="G486" s="54"/>
      <c r="H486" s="54"/>
      <c r="I486" s="54"/>
      <c r="J486" s="54"/>
    </row>
    <row r="487" spans="7:10" ht="15.75" customHeight="1" x14ac:dyDescent="0.2">
      <c r="G487" s="54"/>
      <c r="H487" s="54"/>
      <c r="I487" s="54"/>
      <c r="J487" s="54"/>
    </row>
    <row r="488" spans="7:10" ht="15.75" customHeight="1" x14ac:dyDescent="0.2">
      <c r="G488" s="54"/>
      <c r="H488" s="54"/>
      <c r="I488" s="54"/>
      <c r="J488" s="54"/>
    </row>
    <row r="489" spans="7:10" ht="15.75" customHeight="1" x14ac:dyDescent="0.2">
      <c r="G489" s="54"/>
      <c r="H489" s="54"/>
      <c r="I489" s="54"/>
      <c r="J489" s="54"/>
    </row>
    <row r="490" spans="7:10" ht="15.75" customHeight="1" x14ac:dyDescent="0.2">
      <c r="G490" s="54"/>
      <c r="H490" s="54"/>
      <c r="I490" s="54"/>
      <c r="J490" s="54"/>
    </row>
    <row r="491" spans="7:10" ht="15.75" customHeight="1" x14ac:dyDescent="0.2">
      <c r="G491" s="54"/>
      <c r="H491" s="54"/>
      <c r="I491" s="54"/>
      <c r="J491" s="54"/>
    </row>
    <row r="492" spans="7:10" ht="15.75" customHeight="1" x14ac:dyDescent="0.2">
      <c r="G492" s="54"/>
      <c r="H492" s="54"/>
      <c r="I492" s="54"/>
      <c r="J492" s="54"/>
    </row>
    <row r="493" spans="7:10" ht="15.75" customHeight="1" x14ac:dyDescent="0.2">
      <c r="G493" s="54"/>
      <c r="H493" s="54"/>
      <c r="I493" s="54"/>
      <c r="J493" s="54"/>
    </row>
    <row r="494" spans="7:10" ht="15.75" customHeight="1" x14ac:dyDescent="0.2">
      <c r="G494" s="54"/>
      <c r="H494" s="54"/>
      <c r="I494" s="54"/>
      <c r="J494" s="54"/>
    </row>
    <row r="495" spans="7:10" ht="15.75" customHeight="1" x14ac:dyDescent="0.2">
      <c r="G495" s="54"/>
      <c r="H495" s="54"/>
      <c r="I495" s="54"/>
      <c r="J495" s="54"/>
    </row>
    <row r="496" spans="7:10" ht="15.75" customHeight="1" x14ac:dyDescent="0.2">
      <c r="G496" s="54"/>
      <c r="H496" s="54"/>
      <c r="I496" s="54"/>
      <c r="J496" s="54"/>
    </row>
    <row r="497" spans="7:10" ht="15.75" customHeight="1" x14ac:dyDescent="0.2">
      <c r="G497" s="54"/>
      <c r="H497" s="54"/>
      <c r="I497" s="54"/>
      <c r="J497" s="54"/>
    </row>
    <row r="498" spans="7:10" ht="15.75" customHeight="1" x14ac:dyDescent="0.2">
      <c r="G498" s="54"/>
      <c r="H498" s="54"/>
      <c r="I498" s="54"/>
      <c r="J498" s="54"/>
    </row>
    <row r="499" spans="7:10" ht="15.75" customHeight="1" x14ac:dyDescent="0.2">
      <c r="G499" s="54"/>
      <c r="H499" s="54"/>
      <c r="I499" s="54"/>
      <c r="J499" s="54"/>
    </row>
    <row r="500" spans="7:10" ht="15.75" customHeight="1" x14ac:dyDescent="0.2">
      <c r="G500" s="54"/>
      <c r="H500" s="54"/>
      <c r="I500" s="54"/>
      <c r="J500" s="54"/>
    </row>
    <row r="501" spans="7:10" ht="15.75" customHeight="1" x14ac:dyDescent="0.2">
      <c r="G501" s="54"/>
      <c r="H501" s="54"/>
      <c r="I501" s="54"/>
      <c r="J501" s="54"/>
    </row>
    <row r="502" spans="7:10" ht="15.75" customHeight="1" x14ac:dyDescent="0.2">
      <c r="G502" s="54"/>
      <c r="H502" s="54"/>
      <c r="I502" s="54"/>
      <c r="J502" s="54"/>
    </row>
    <row r="503" spans="7:10" ht="15.75" customHeight="1" x14ac:dyDescent="0.2">
      <c r="G503" s="54"/>
      <c r="H503" s="54"/>
      <c r="I503" s="54"/>
      <c r="J503" s="54"/>
    </row>
    <row r="504" spans="7:10" ht="15.75" customHeight="1" x14ac:dyDescent="0.2">
      <c r="G504" s="54"/>
      <c r="H504" s="54"/>
      <c r="I504" s="54"/>
      <c r="J504" s="54"/>
    </row>
    <row r="505" spans="7:10" ht="15.75" customHeight="1" x14ac:dyDescent="0.2">
      <c r="G505" s="54"/>
      <c r="H505" s="54"/>
      <c r="I505" s="54"/>
      <c r="J505" s="54"/>
    </row>
    <row r="506" spans="7:10" ht="15.75" customHeight="1" x14ac:dyDescent="0.2">
      <c r="G506" s="54"/>
      <c r="H506" s="54"/>
      <c r="I506" s="54"/>
      <c r="J506" s="54"/>
    </row>
    <row r="507" spans="7:10" ht="15.75" customHeight="1" x14ac:dyDescent="0.2">
      <c r="G507" s="54"/>
      <c r="H507" s="54"/>
      <c r="I507" s="54"/>
      <c r="J507" s="54"/>
    </row>
    <row r="508" spans="7:10" ht="15.75" customHeight="1" x14ac:dyDescent="0.2">
      <c r="G508" s="54"/>
      <c r="H508" s="54"/>
      <c r="I508" s="54"/>
      <c r="J508" s="54"/>
    </row>
    <row r="509" spans="7:10" ht="15.75" customHeight="1" x14ac:dyDescent="0.2">
      <c r="G509" s="54"/>
      <c r="H509" s="54"/>
      <c r="I509" s="54"/>
      <c r="J509" s="54"/>
    </row>
    <row r="510" spans="7:10" ht="15.75" customHeight="1" x14ac:dyDescent="0.2">
      <c r="G510" s="54"/>
      <c r="H510" s="54"/>
      <c r="I510" s="54"/>
      <c r="J510" s="54"/>
    </row>
    <row r="511" spans="7:10" ht="15.75" customHeight="1" x14ac:dyDescent="0.2">
      <c r="G511" s="54"/>
      <c r="H511" s="54"/>
      <c r="I511" s="54"/>
      <c r="J511" s="54"/>
    </row>
    <row r="512" spans="7:10" ht="15.75" customHeight="1" x14ac:dyDescent="0.2">
      <c r="G512" s="54"/>
      <c r="H512" s="54"/>
      <c r="I512" s="54"/>
      <c r="J512" s="54"/>
    </row>
    <row r="513" spans="7:10" ht="15.75" customHeight="1" x14ac:dyDescent="0.2">
      <c r="G513" s="54"/>
      <c r="H513" s="54"/>
      <c r="I513" s="54"/>
      <c r="J513" s="54"/>
    </row>
    <row r="514" spans="7:10" ht="15.75" customHeight="1" x14ac:dyDescent="0.2">
      <c r="G514" s="54"/>
      <c r="H514" s="54"/>
      <c r="I514" s="54"/>
      <c r="J514" s="54"/>
    </row>
    <row r="515" spans="7:10" ht="15.75" customHeight="1" x14ac:dyDescent="0.2">
      <c r="G515" s="54"/>
      <c r="H515" s="54"/>
      <c r="I515" s="54"/>
      <c r="J515" s="54"/>
    </row>
    <row r="516" spans="7:10" ht="15.75" customHeight="1" x14ac:dyDescent="0.2">
      <c r="G516" s="54"/>
      <c r="H516" s="54"/>
      <c r="I516" s="54"/>
      <c r="J516" s="54"/>
    </row>
    <row r="517" spans="7:10" ht="15.75" customHeight="1" x14ac:dyDescent="0.2">
      <c r="G517" s="54"/>
      <c r="H517" s="54"/>
      <c r="I517" s="54"/>
      <c r="J517" s="54"/>
    </row>
    <row r="518" spans="7:10" ht="15.75" customHeight="1" x14ac:dyDescent="0.2">
      <c r="G518" s="54"/>
      <c r="H518" s="54"/>
      <c r="I518" s="54"/>
      <c r="J518" s="54"/>
    </row>
    <row r="519" spans="7:10" ht="15.75" customHeight="1" x14ac:dyDescent="0.2">
      <c r="G519" s="54"/>
      <c r="H519" s="54"/>
      <c r="I519" s="54"/>
      <c r="J519" s="54"/>
    </row>
    <row r="520" spans="7:10" ht="15.75" customHeight="1" x14ac:dyDescent="0.2">
      <c r="G520" s="54"/>
      <c r="H520" s="54"/>
      <c r="I520" s="54"/>
      <c r="J520" s="54"/>
    </row>
    <row r="521" spans="7:10" ht="15.75" customHeight="1" x14ac:dyDescent="0.2">
      <c r="G521" s="54"/>
      <c r="H521" s="54"/>
      <c r="I521" s="54"/>
      <c r="J521" s="54"/>
    </row>
    <row r="522" spans="7:10" ht="15.75" customHeight="1" x14ac:dyDescent="0.2">
      <c r="G522" s="54"/>
      <c r="H522" s="54"/>
      <c r="I522" s="54"/>
      <c r="J522" s="54"/>
    </row>
    <row r="523" spans="7:10" ht="15.75" customHeight="1" x14ac:dyDescent="0.2">
      <c r="G523" s="54"/>
      <c r="H523" s="54"/>
      <c r="I523" s="54"/>
      <c r="J523" s="54"/>
    </row>
    <row r="524" spans="7:10" ht="15.75" customHeight="1" x14ac:dyDescent="0.2">
      <c r="G524" s="54"/>
      <c r="H524" s="54"/>
      <c r="I524" s="54"/>
      <c r="J524" s="54"/>
    </row>
    <row r="525" spans="7:10" ht="15.75" customHeight="1" x14ac:dyDescent="0.2">
      <c r="G525" s="54"/>
      <c r="H525" s="54"/>
      <c r="I525" s="54"/>
      <c r="J525" s="54"/>
    </row>
    <row r="526" spans="7:10" ht="15.75" customHeight="1" x14ac:dyDescent="0.2">
      <c r="G526" s="54"/>
      <c r="H526" s="54"/>
      <c r="I526" s="54"/>
      <c r="J526" s="54"/>
    </row>
    <row r="527" spans="7:10" ht="15.75" customHeight="1" x14ac:dyDescent="0.2">
      <c r="G527" s="54"/>
      <c r="H527" s="54"/>
      <c r="I527" s="54"/>
      <c r="J527" s="54"/>
    </row>
    <row r="528" spans="7:10" ht="15.75" customHeight="1" x14ac:dyDescent="0.2">
      <c r="G528" s="54"/>
      <c r="H528" s="54"/>
      <c r="I528" s="54"/>
      <c r="J528" s="54"/>
    </row>
    <row r="529" spans="7:10" ht="15.75" customHeight="1" x14ac:dyDescent="0.2">
      <c r="G529" s="54"/>
      <c r="H529" s="54"/>
      <c r="I529" s="54"/>
      <c r="J529" s="54"/>
    </row>
    <row r="530" spans="7:10" ht="15.75" customHeight="1" x14ac:dyDescent="0.2">
      <c r="G530" s="54"/>
      <c r="H530" s="54"/>
      <c r="I530" s="54"/>
      <c r="J530" s="54"/>
    </row>
    <row r="531" spans="7:10" ht="15.75" customHeight="1" x14ac:dyDescent="0.2">
      <c r="G531" s="54"/>
      <c r="H531" s="54"/>
      <c r="I531" s="54"/>
      <c r="J531" s="54"/>
    </row>
    <row r="532" spans="7:10" ht="15.75" customHeight="1" x14ac:dyDescent="0.2">
      <c r="G532" s="54"/>
      <c r="H532" s="54"/>
      <c r="I532" s="54"/>
      <c r="J532" s="54"/>
    </row>
    <row r="533" spans="7:10" ht="15.75" customHeight="1" x14ac:dyDescent="0.2">
      <c r="G533" s="54"/>
      <c r="H533" s="54"/>
      <c r="I533" s="54"/>
      <c r="J533" s="54"/>
    </row>
    <row r="534" spans="7:10" ht="15.75" customHeight="1" x14ac:dyDescent="0.2">
      <c r="G534" s="54"/>
      <c r="H534" s="54"/>
      <c r="I534" s="54"/>
      <c r="J534" s="54"/>
    </row>
    <row r="535" spans="7:10" ht="15.75" customHeight="1" x14ac:dyDescent="0.2">
      <c r="G535" s="54"/>
      <c r="H535" s="54"/>
      <c r="I535" s="54"/>
      <c r="J535" s="54"/>
    </row>
    <row r="536" spans="7:10" ht="15.75" customHeight="1" x14ac:dyDescent="0.2">
      <c r="G536" s="54"/>
      <c r="H536" s="54"/>
      <c r="I536" s="54"/>
      <c r="J536" s="54"/>
    </row>
    <row r="537" spans="7:10" ht="15.75" customHeight="1" x14ac:dyDescent="0.2">
      <c r="G537" s="54"/>
      <c r="H537" s="54"/>
      <c r="I537" s="54"/>
      <c r="J537" s="54"/>
    </row>
    <row r="538" spans="7:10" ht="15.75" customHeight="1" x14ac:dyDescent="0.2">
      <c r="G538" s="54"/>
      <c r="H538" s="54"/>
      <c r="I538" s="54"/>
      <c r="J538" s="54"/>
    </row>
    <row r="539" spans="7:10" ht="15.75" customHeight="1" x14ac:dyDescent="0.2">
      <c r="G539" s="54"/>
      <c r="H539" s="54"/>
      <c r="I539" s="54"/>
      <c r="J539" s="54"/>
    </row>
    <row r="540" spans="7:10" ht="15.75" customHeight="1" x14ac:dyDescent="0.2">
      <c r="G540" s="54"/>
      <c r="H540" s="54"/>
      <c r="I540" s="54"/>
      <c r="J540" s="54"/>
    </row>
    <row r="541" spans="7:10" ht="15.75" customHeight="1" x14ac:dyDescent="0.2">
      <c r="G541" s="54"/>
      <c r="H541" s="54"/>
      <c r="I541" s="54"/>
      <c r="J541" s="54"/>
    </row>
    <row r="542" spans="7:10" ht="15.75" customHeight="1" x14ac:dyDescent="0.2">
      <c r="G542" s="54"/>
      <c r="H542" s="54"/>
      <c r="I542" s="54"/>
      <c r="J542" s="54"/>
    </row>
    <row r="543" spans="7:10" ht="15.75" customHeight="1" x14ac:dyDescent="0.2">
      <c r="G543" s="54"/>
      <c r="H543" s="54"/>
      <c r="I543" s="54"/>
      <c r="J543" s="54"/>
    </row>
    <row r="544" spans="7:10" ht="15.75" customHeight="1" x14ac:dyDescent="0.2">
      <c r="G544" s="54"/>
      <c r="H544" s="54"/>
      <c r="I544" s="54"/>
      <c r="J544" s="54"/>
    </row>
    <row r="545" spans="7:10" ht="15.75" customHeight="1" x14ac:dyDescent="0.2">
      <c r="G545" s="54"/>
      <c r="H545" s="54"/>
      <c r="I545" s="54"/>
      <c r="J545" s="54"/>
    </row>
    <row r="546" spans="7:10" ht="15.75" customHeight="1" x14ac:dyDescent="0.2">
      <c r="G546" s="54"/>
      <c r="H546" s="54"/>
      <c r="I546" s="54"/>
      <c r="J546" s="54"/>
    </row>
    <row r="547" spans="7:10" ht="15.75" customHeight="1" x14ac:dyDescent="0.2">
      <c r="G547" s="54"/>
      <c r="H547" s="54"/>
      <c r="I547" s="54"/>
      <c r="J547" s="54"/>
    </row>
    <row r="548" spans="7:10" ht="15.75" customHeight="1" x14ac:dyDescent="0.2">
      <c r="G548" s="54"/>
      <c r="H548" s="54"/>
      <c r="I548" s="54"/>
      <c r="J548" s="54"/>
    </row>
    <row r="549" spans="7:10" ht="15.75" customHeight="1" x14ac:dyDescent="0.2">
      <c r="G549" s="54"/>
      <c r="H549" s="54"/>
      <c r="I549" s="54"/>
      <c r="J549" s="54"/>
    </row>
    <row r="550" spans="7:10" ht="15.75" customHeight="1" x14ac:dyDescent="0.2">
      <c r="G550" s="54"/>
      <c r="H550" s="54"/>
      <c r="I550" s="54"/>
      <c r="J550" s="54"/>
    </row>
    <row r="551" spans="7:10" ht="15.75" customHeight="1" x14ac:dyDescent="0.2">
      <c r="G551" s="54"/>
      <c r="H551" s="54"/>
      <c r="I551" s="54"/>
      <c r="J551" s="54"/>
    </row>
    <row r="552" spans="7:10" ht="15.75" customHeight="1" x14ac:dyDescent="0.2">
      <c r="G552" s="54"/>
      <c r="H552" s="54"/>
      <c r="I552" s="54"/>
      <c r="J552" s="54"/>
    </row>
    <row r="553" spans="7:10" ht="15.75" customHeight="1" x14ac:dyDescent="0.2">
      <c r="G553" s="54"/>
      <c r="H553" s="54"/>
      <c r="I553" s="54"/>
      <c r="J553" s="54"/>
    </row>
    <row r="554" spans="7:10" ht="15.75" customHeight="1" x14ac:dyDescent="0.2">
      <c r="G554" s="54"/>
      <c r="H554" s="54"/>
      <c r="I554" s="54"/>
      <c r="J554" s="54"/>
    </row>
    <row r="555" spans="7:10" ht="15.75" customHeight="1" x14ac:dyDescent="0.2">
      <c r="G555" s="54"/>
      <c r="H555" s="54"/>
      <c r="I555" s="54"/>
      <c r="J555" s="54"/>
    </row>
    <row r="556" spans="7:10" ht="15.75" customHeight="1" x14ac:dyDescent="0.2">
      <c r="G556" s="54"/>
      <c r="H556" s="54"/>
      <c r="I556" s="54"/>
      <c r="J556" s="54"/>
    </row>
    <row r="557" spans="7:10" ht="15.75" customHeight="1" x14ac:dyDescent="0.2">
      <c r="G557" s="54"/>
      <c r="H557" s="54"/>
      <c r="I557" s="54"/>
      <c r="J557" s="54"/>
    </row>
    <row r="558" spans="7:10" ht="15.75" customHeight="1" x14ac:dyDescent="0.2">
      <c r="G558" s="54"/>
      <c r="H558" s="54"/>
      <c r="I558" s="54"/>
      <c r="J558" s="54"/>
    </row>
    <row r="559" spans="7:10" ht="15.75" customHeight="1" x14ac:dyDescent="0.2">
      <c r="G559" s="54"/>
      <c r="H559" s="54"/>
      <c r="I559" s="54"/>
      <c r="J559" s="54"/>
    </row>
    <row r="560" spans="7:10" ht="15.75" customHeight="1" x14ac:dyDescent="0.2">
      <c r="G560" s="54"/>
      <c r="H560" s="54"/>
      <c r="I560" s="54"/>
      <c r="J560" s="54"/>
    </row>
    <row r="561" spans="7:10" ht="15.75" customHeight="1" x14ac:dyDescent="0.2">
      <c r="G561" s="54"/>
      <c r="H561" s="54"/>
      <c r="I561" s="54"/>
      <c r="J561" s="54"/>
    </row>
    <row r="562" spans="7:10" ht="15.75" customHeight="1" x14ac:dyDescent="0.2">
      <c r="G562" s="54"/>
      <c r="H562" s="54"/>
      <c r="I562" s="54"/>
      <c r="J562" s="54"/>
    </row>
    <row r="563" spans="7:10" ht="15.75" customHeight="1" x14ac:dyDescent="0.2">
      <c r="G563" s="54"/>
      <c r="H563" s="54"/>
      <c r="I563" s="54"/>
      <c r="J563" s="54"/>
    </row>
    <row r="564" spans="7:10" ht="15.75" customHeight="1" x14ac:dyDescent="0.2">
      <c r="G564" s="54"/>
      <c r="H564" s="54"/>
      <c r="I564" s="54"/>
      <c r="J564" s="54"/>
    </row>
    <row r="565" spans="7:10" ht="15.75" customHeight="1" x14ac:dyDescent="0.2">
      <c r="G565" s="54"/>
      <c r="H565" s="54"/>
      <c r="I565" s="54"/>
      <c r="J565" s="54"/>
    </row>
    <row r="566" spans="7:10" ht="15.75" customHeight="1" x14ac:dyDescent="0.2">
      <c r="G566" s="54"/>
      <c r="H566" s="54"/>
      <c r="I566" s="54"/>
      <c r="J566" s="54"/>
    </row>
    <row r="567" spans="7:10" ht="15.75" customHeight="1" x14ac:dyDescent="0.2">
      <c r="G567" s="54"/>
      <c r="H567" s="54"/>
      <c r="I567" s="54"/>
      <c r="J567" s="54"/>
    </row>
    <row r="568" spans="7:10" ht="15.75" customHeight="1" x14ac:dyDescent="0.2">
      <c r="G568" s="54"/>
      <c r="H568" s="54"/>
      <c r="I568" s="54"/>
      <c r="J568" s="54"/>
    </row>
    <row r="569" spans="7:10" ht="15.75" customHeight="1" x14ac:dyDescent="0.2">
      <c r="G569" s="54"/>
      <c r="H569" s="54"/>
      <c r="I569" s="54"/>
      <c r="J569" s="54"/>
    </row>
    <row r="570" spans="7:10" ht="15.75" customHeight="1" x14ac:dyDescent="0.2">
      <c r="G570" s="54"/>
      <c r="H570" s="54"/>
      <c r="I570" s="54"/>
      <c r="J570" s="54"/>
    </row>
    <row r="571" spans="7:10" ht="15.75" customHeight="1" x14ac:dyDescent="0.2">
      <c r="G571" s="54"/>
      <c r="H571" s="54"/>
      <c r="I571" s="54"/>
      <c r="J571" s="54"/>
    </row>
    <row r="572" spans="7:10" ht="15.75" customHeight="1" x14ac:dyDescent="0.2">
      <c r="G572" s="54"/>
      <c r="H572" s="54"/>
      <c r="I572" s="54"/>
      <c r="J572" s="54"/>
    </row>
    <row r="573" spans="7:10" ht="15.75" customHeight="1" x14ac:dyDescent="0.2">
      <c r="G573" s="54"/>
      <c r="H573" s="54"/>
      <c r="I573" s="54"/>
      <c r="J573" s="54"/>
    </row>
    <row r="574" spans="7:10" ht="15.75" customHeight="1" x14ac:dyDescent="0.2">
      <c r="G574" s="54"/>
      <c r="H574" s="54"/>
      <c r="I574" s="54"/>
      <c r="J574" s="54"/>
    </row>
    <row r="575" spans="7:10" ht="15.75" customHeight="1" x14ac:dyDescent="0.2">
      <c r="G575" s="54"/>
      <c r="H575" s="54"/>
      <c r="I575" s="54"/>
      <c r="J575" s="54"/>
    </row>
    <row r="576" spans="7:10" ht="15.75" customHeight="1" x14ac:dyDescent="0.2">
      <c r="G576" s="54"/>
      <c r="H576" s="54"/>
      <c r="I576" s="54"/>
      <c r="J576" s="54"/>
    </row>
    <row r="577" spans="7:10" ht="15.75" customHeight="1" x14ac:dyDescent="0.2">
      <c r="G577" s="54"/>
      <c r="H577" s="54"/>
      <c r="I577" s="54"/>
      <c r="J577" s="54"/>
    </row>
    <row r="578" spans="7:10" ht="15.75" customHeight="1" x14ac:dyDescent="0.2">
      <c r="G578" s="54"/>
      <c r="H578" s="54"/>
      <c r="I578" s="54"/>
      <c r="J578" s="54"/>
    </row>
    <row r="579" spans="7:10" ht="15.75" customHeight="1" x14ac:dyDescent="0.2">
      <c r="G579" s="54"/>
      <c r="H579" s="54"/>
      <c r="I579" s="54"/>
      <c r="J579" s="54"/>
    </row>
    <row r="580" spans="7:10" ht="15.75" customHeight="1" x14ac:dyDescent="0.2">
      <c r="G580" s="54"/>
      <c r="H580" s="54"/>
      <c r="I580" s="54"/>
      <c r="J580" s="54"/>
    </row>
    <row r="581" spans="7:10" ht="15.75" customHeight="1" x14ac:dyDescent="0.2">
      <c r="G581" s="54"/>
      <c r="H581" s="54"/>
      <c r="I581" s="54"/>
      <c r="J581" s="54"/>
    </row>
    <row r="582" spans="7:10" ht="15.75" customHeight="1" x14ac:dyDescent="0.2">
      <c r="G582" s="54"/>
      <c r="H582" s="54"/>
      <c r="I582" s="54"/>
      <c r="J582" s="54"/>
    </row>
    <row r="583" spans="7:10" ht="15.75" customHeight="1" x14ac:dyDescent="0.2">
      <c r="G583" s="54"/>
      <c r="H583" s="54"/>
      <c r="I583" s="54"/>
      <c r="J583" s="54"/>
    </row>
    <row r="584" spans="7:10" ht="15.75" customHeight="1" x14ac:dyDescent="0.2">
      <c r="G584" s="54"/>
      <c r="H584" s="54"/>
      <c r="I584" s="54"/>
      <c r="J584" s="54"/>
    </row>
    <row r="585" spans="7:10" ht="15.75" customHeight="1" x14ac:dyDescent="0.2">
      <c r="G585" s="54"/>
      <c r="H585" s="54"/>
      <c r="I585" s="54"/>
      <c r="J585" s="54"/>
    </row>
    <row r="586" spans="7:10" ht="15.75" customHeight="1" x14ac:dyDescent="0.2">
      <c r="G586" s="54"/>
      <c r="H586" s="54"/>
      <c r="I586" s="54"/>
      <c r="J586" s="54"/>
    </row>
    <row r="587" spans="7:10" ht="15.75" customHeight="1" x14ac:dyDescent="0.2">
      <c r="G587" s="54"/>
      <c r="H587" s="54"/>
      <c r="I587" s="54"/>
      <c r="J587" s="54"/>
    </row>
    <row r="588" spans="7:10" ht="15.75" customHeight="1" x14ac:dyDescent="0.2">
      <c r="G588" s="54"/>
      <c r="H588" s="54"/>
      <c r="I588" s="54"/>
      <c r="J588" s="54"/>
    </row>
    <row r="589" spans="7:10" ht="15.75" customHeight="1" x14ac:dyDescent="0.2">
      <c r="G589" s="54"/>
      <c r="H589" s="54"/>
      <c r="I589" s="54"/>
      <c r="J589" s="54"/>
    </row>
    <row r="590" spans="7:10" ht="15.75" customHeight="1" x14ac:dyDescent="0.2">
      <c r="G590" s="54"/>
      <c r="H590" s="54"/>
      <c r="I590" s="54"/>
      <c r="J590" s="54"/>
    </row>
    <row r="591" spans="7:10" ht="15.75" customHeight="1" x14ac:dyDescent="0.2">
      <c r="G591" s="54"/>
      <c r="H591" s="54"/>
      <c r="I591" s="54"/>
      <c r="J591" s="54"/>
    </row>
    <row r="592" spans="7:10" ht="15.75" customHeight="1" x14ac:dyDescent="0.2">
      <c r="G592" s="54"/>
      <c r="H592" s="54"/>
      <c r="I592" s="54"/>
      <c r="J592" s="54"/>
    </row>
    <row r="593" spans="7:10" ht="15.75" customHeight="1" x14ac:dyDescent="0.2">
      <c r="G593" s="54"/>
      <c r="H593" s="54"/>
      <c r="I593" s="54"/>
      <c r="J593" s="54"/>
    </row>
    <row r="594" spans="7:10" ht="15.75" customHeight="1" x14ac:dyDescent="0.2">
      <c r="G594" s="54"/>
      <c r="H594" s="54"/>
      <c r="I594" s="54"/>
      <c r="J594" s="54"/>
    </row>
    <row r="595" spans="7:10" ht="15.75" customHeight="1" x14ac:dyDescent="0.2">
      <c r="G595" s="54"/>
      <c r="H595" s="54"/>
      <c r="I595" s="54"/>
      <c r="J595" s="54"/>
    </row>
    <row r="596" spans="7:10" ht="15.75" customHeight="1" x14ac:dyDescent="0.2">
      <c r="G596" s="54"/>
      <c r="H596" s="54"/>
      <c r="I596" s="54"/>
      <c r="J596" s="54"/>
    </row>
    <row r="597" spans="7:10" ht="15.75" customHeight="1" x14ac:dyDescent="0.2">
      <c r="G597" s="54"/>
      <c r="H597" s="54"/>
      <c r="I597" s="54"/>
      <c r="J597" s="54"/>
    </row>
    <row r="598" spans="7:10" ht="15.75" customHeight="1" x14ac:dyDescent="0.2">
      <c r="G598" s="54"/>
      <c r="H598" s="54"/>
      <c r="I598" s="54"/>
      <c r="J598" s="54"/>
    </row>
    <row r="599" spans="7:10" ht="15.75" customHeight="1" x14ac:dyDescent="0.2">
      <c r="G599" s="54"/>
      <c r="H599" s="54"/>
      <c r="I599" s="54"/>
      <c r="J599" s="54"/>
    </row>
    <row r="600" spans="7:10" ht="15.75" customHeight="1" x14ac:dyDescent="0.2">
      <c r="G600" s="54"/>
      <c r="H600" s="54"/>
      <c r="I600" s="54"/>
      <c r="J600" s="54"/>
    </row>
    <row r="601" spans="7:10" ht="15.75" customHeight="1" x14ac:dyDescent="0.2">
      <c r="G601" s="54"/>
      <c r="H601" s="54"/>
      <c r="I601" s="54"/>
      <c r="J601" s="54"/>
    </row>
    <row r="602" spans="7:10" ht="15.75" customHeight="1" x14ac:dyDescent="0.2">
      <c r="G602" s="54"/>
      <c r="H602" s="54"/>
      <c r="I602" s="54"/>
      <c r="J602" s="54"/>
    </row>
    <row r="603" spans="7:10" ht="15.75" customHeight="1" x14ac:dyDescent="0.2">
      <c r="G603" s="54"/>
      <c r="H603" s="54"/>
      <c r="I603" s="54"/>
      <c r="J603" s="54"/>
    </row>
    <row r="604" spans="7:10" ht="15.75" customHeight="1" x14ac:dyDescent="0.2">
      <c r="G604" s="54"/>
      <c r="H604" s="54"/>
      <c r="I604" s="54"/>
      <c r="J604" s="54"/>
    </row>
    <row r="605" spans="7:10" ht="15.75" customHeight="1" x14ac:dyDescent="0.2">
      <c r="G605" s="54"/>
      <c r="H605" s="54"/>
      <c r="I605" s="54"/>
      <c r="J605" s="54"/>
    </row>
    <row r="606" spans="7:10" ht="15.75" customHeight="1" x14ac:dyDescent="0.2">
      <c r="G606" s="54"/>
      <c r="H606" s="54"/>
      <c r="I606" s="54"/>
      <c r="J606" s="54"/>
    </row>
    <row r="607" spans="7:10" ht="15.75" customHeight="1" x14ac:dyDescent="0.2">
      <c r="G607" s="54"/>
      <c r="H607" s="54"/>
      <c r="I607" s="54"/>
      <c r="J607" s="54"/>
    </row>
    <row r="608" spans="7:10" ht="15.75" customHeight="1" x14ac:dyDescent="0.2">
      <c r="G608" s="54"/>
      <c r="H608" s="54"/>
      <c r="I608" s="54"/>
      <c r="J608" s="54"/>
    </row>
    <row r="609" spans="7:10" ht="15.75" customHeight="1" x14ac:dyDescent="0.2">
      <c r="G609" s="54"/>
      <c r="H609" s="54"/>
      <c r="I609" s="54"/>
      <c r="J609" s="54"/>
    </row>
    <row r="610" spans="7:10" ht="15.75" customHeight="1" x14ac:dyDescent="0.2">
      <c r="G610" s="54"/>
      <c r="H610" s="54"/>
      <c r="I610" s="54"/>
      <c r="J610" s="54"/>
    </row>
    <row r="611" spans="7:10" ht="15.75" customHeight="1" x14ac:dyDescent="0.2">
      <c r="G611" s="54"/>
      <c r="H611" s="54"/>
      <c r="I611" s="54"/>
      <c r="J611" s="54"/>
    </row>
    <row r="612" spans="7:10" ht="15.75" customHeight="1" x14ac:dyDescent="0.2">
      <c r="G612" s="54"/>
      <c r="H612" s="54"/>
      <c r="I612" s="54"/>
      <c r="J612" s="54"/>
    </row>
    <row r="613" spans="7:10" ht="15.75" customHeight="1" x14ac:dyDescent="0.2">
      <c r="G613" s="54"/>
      <c r="H613" s="54"/>
      <c r="I613" s="54"/>
      <c r="J613" s="54"/>
    </row>
    <row r="614" spans="7:10" ht="15.75" customHeight="1" x14ac:dyDescent="0.2">
      <c r="G614" s="54"/>
      <c r="H614" s="54"/>
      <c r="I614" s="54"/>
      <c r="J614" s="54"/>
    </row>
    <row r="615" spans="7:10" ht="15.75" customHeight="1" x14ac:dyDescent="0.2">
      <c r="G615" s="54"/>
      <c r="H615" s="54"/>
      <c r="I615" s="54"/>
      <c r="J615" s="54"/>
    </row>
    <row r="616" spans="7:10" ht="15.75" customHeight="1" x14ac:dyDescent="0.2">
      <c r="G616" s="54"/>
      <c r="H616" s="54"/>
      <c r="I616" s="54"/>
      <c r="J616" s="54"/>
    </row>
    <row r="617" spans="7:10" ht="15.75" customHeight="1" x14ac:dyDescent="0.2">
      <c r="G617" s="54"/>
      <c r="H617" s="54"/>
      <c r="I617" s="54"/>
      <c r="J617" s="54"/>
    </row>
    <row r="618" spans="7:10" ht="15.75" customHeight="1" x14ac:dyDescent="0.2">
      <c r="G618" s="54"/>
      <c r="H618" s="54"/>
      <c r="I618" s="54"/>
      <c r="J618" s="54"/>
    </row>
    <row r="619" spans="7:10" ht="15.75" customHeight="1" x14ac:dyDescent="0.2">
      <c r="G619" s="54"/>
      <c r="H619" s="54"/>
      <c r="I619" s="54"/>
      <c r="J619" s="54"/>
    </row>
    <row r="620" spans="7:10" ht="15.75" customHeight="1" x14ac:dyDescent="0.2">
      <c r="G620" s="54"/>
      <c r="H620" s="54"/>
      <c r="I620" s="54"/>
      <c r="J620" s="54"/>
    </row>
    <row r="621" spans="7:10" ht="15.75" customHeight="1" x14ac:dyDescent="0.2">
      <c r="G621" s="54"/>
      <c r="H621" s="54"/>
      <c r="I621" s="54"/>
      <c r="J621" s="54"/>
    </row>
    <row r="622" spans="7:10" ht="15.75" customHeight="1" x14ac:dyDescent="0.2">
      <c r="G622" s="54"/>
      <c r="H622" s="54"/>
      <c r="I622" s="54"/>
      <c r="J622" s="54"/>
    </row>
    <row r="623" spans="7:10" ht="15.75" customHeight="1" x14ac:dyDescent="0.2">
      <c r="G623" s="54"/>
      <c r="H623" s="54"/>
      <c r="I623" s="54"/>
      <c r="J623" s="54"/>
    </row>
    <row r="624" spans="7:10" ht="15.75" customHeight="1" x14ac:dyDescent="0.2">
      <c r="G624" s="54"/>
      <c r="H624" s="54"/>
      <c r="I624" s="54"/>
      <c r="J624" s="54"/>
    </row>
    <row r="625" spans="7:10" ht="15.75" customHeight="1" x14ac:dyDescent="0.2">
      <c r="G625" s="54"/>
      <c r="H625" s="54"/>
      <c r="I625" s="54"/>
      <c r="J625" s="54"/>
    </row>
    <row r="626" spans="7:10" ht="15.75" customHeight="1" x14ac:dyDescent="0.2">
      <c r="G626" s="54"/>
      <c r="H626" s="54"/>
      <c r="I626" s="54"/>
      <c r="J626" s="54"/>
    </row>
    <row r="627" spans="7:10" ht="15.75" customHeight="1" x14ac:dyDescent="0.2">
      <c r="G627" s="54"/>
      <c r="H627" s="54"/>
      <c r="I627" s="54"/>
      <c r="J627" s="54"/>
    </row>
    <row r="628" spans="7:10" ht="15.75" customHeight="1" x14ac:dyDescent="0.2">
      <c r="G628" s="54"/>
      <c r="H628" s="54"/>
      <c r="I628" s="54"/>
      <c r="J628" s="54"/>
    </row>
    <row r="629" spans="7:10" ht="15.75" customHeight="1" x14ac:dyDescent="0.2">
      <c r="G629" s="54"/>
      <c r="H629" s="54"/>
      <c r="I629" s="54"/>
      <c r="J629" s="54"/>
    </row>
    <row r="630" spans="7:10" ht="15.75" customHeight="1" x14ac:dyDescent="0.2">
      <c r="G630" s="54"/>
      <c r="H630" s="54"/>
      <c r="I630" s="54"/>
      <c r="J630" s="54"/>
    </row>
    <row r="631" spans="7:10" ht="15.75" customHeight="1" x14ac:dyDescent="0.2">
      <c r="G631" s="54"/>
      <c r="H631" s="54"/>
      <c r="I631" s="54"/>
      <c r="J631" s="54"/>
    </row>
    <row r="632" spans="7:10" ht="15.75" customHeight="1" x14ac:dyDescent="0.2">
      <c r="G632" s="54"/>
      <c r="H632" s="54"/>
      <c r="I632" s="54"/>
      <c r="J632" s="54"/>
    </row>
    <row r="633" spans="7:10" ht="15.75" customHeight="1" x14ac:dyDescent="0.2">
      <c r="G633" s="54"/>
      <c r="H633" s="54"/>
      <c r="I633" s="54"/>
      <c r="J633" s="54"/>
    </row>
    <row r="634" spans="7:10" ht="15.75" customHeight="1" x14ac:dyDescent="0.2">
      <c r="G634" s="54"/>
      <c r="H634" s="54"/>
      <c r="I634" s="54"/>
      <c r="J634" s="54"/>
    </row>
    <row r="635" spans="7:10" ht="15.75" customHeight="1" x14ac:dyDescent="0.2">
      <c r="G635" s="54"/>
      <c r="H635" s="54"/>
      <c r="I635" s="54"/>
      <c r="J635" s="54"/>
    </row>
    <row r="636" spans="7:10" ht="15.75" customHeight="1" x14ac:dyDescent="0.2">
      <c r="G636" s="54"/>
      <c r="H636" s="54"/>
      <c r="I636" s="54"/>
      <c r="J636" s="54"/>
    </row>
    <row r="637" spans="7:10" ht="15.75" customHeight="1" x14ac:dyDescent="0.2">
      <c r="G637" s="54"/>
      <c r="H637" s="54"/>
      <c r="I637" s="54"/>
      <c r="J637" s="54"/>
    </row>
    <row r="638" spans="7:10" ht="15.75" customHeight="1" x14ac:dyDescent="0.2">
      <c r="G638" s="54"/>
      <c r="H638" s="54"/>
      <c r="I638" s="54"/>
      <c r="J638" s="54"/>
    </row>
    <row r="639" spans="7:10" ht="15.75" customHeight="1" x14ac:dyDescent="0.2">
      <c r="G639" s="54"/>
      <c r="H639" s="54"/>
      <c r="I639" s="54"/>
      <c r="J639" s="54"/>
    </row>
    <row r="640" spans="7:10" ht="15.75" customHeight="1" x14ac:dyDescent="0.2">
      <c r="G640" s="54"/>
      <c r="H640" s="54"/>
      <c r="I640" s="54"/>
      <c r="J640" s="54"/>
    </row>
    <row r="641" spans="7:10" ht="15.75" customHeight="1" x14ac:dyDescent="0.2">
      <c r="G641" s="54"/>
      <c r="H641" s="54"/>
      <c r="I641" s="54"/>
      <c r="J641" s="54"/>
    </row>
    <row r="642" spans="7:10" ht="15.75" customHeight="1" x14ac:dyDescent="0.2">
      <c r="G642" s="54"/>
      <c r="H642" s="54"/>
      <c r="I642" s="54"/>
      <c r="J642" s="54"/>
    </row>
    <row r="643" spans="7:10" ht="15.75" customHeight="1" x14ac:dyDescent="0.2">
      <c r="G643" s="54"/>
      <c r="H643" s="54"/>
      <c r="I643" s="54"/>
      <c r="J643" s="54"/>
    </row>
    <row r="644" spans="7:10" ht="15.75" customHeight="1" x14ac:dyDescent="0.2">
      <c r="G644" s="54"/>
      <c r="H644" s="54"/>
      <c r="I644" s="54"/>
      <c r="J644" s="54"/>
    </row>
    <row r="645" spans="7:10" ht="15.75" customHeight="1" x14ac:dyDescent="0.2">
      <c r="G645" s="54"/>
      <c r="H645" s="54"/>
      <c r="I645" s="54"/>
      <c r="J645" s="54"/>
    </row>
    <row r="646" spans="7:10" ht="15.75" customHeight="1" x14ac:dyDescent="0.2">
      <c r="G646" s="54"/>
      <c r="H646" s="54"/>
      <c r="I646" s="54"/>
      <c r="J646" s="54"/>
    </row>
    <row r="647" spans="7:10" ht="15.75" customHeight="1" x14ac:dyDescent="0.2">
      <c r="G647" s="54"/>
      <c r="H647" s="54"/>
      <c r="I647" s="54"/>
      <c r="J647" s="54"/>
    </row>
    <row r="648" spans="7:10" ht="15.75" customHeight="1" x14ac:dyDescent="0.2">
      <c r="G648" s="54"/>
      <c r="H648" s="54"/>
      <c r="I648" s="54"/>
      <c r="J648" s="54"/>
    </row>
    <row r="649" spans="7:10" ht="15.75" customHeight="1" x14ac:dyDescent="0.2">
      <c r="G649" s="54"/>
      <c r="H649" s="54"/>
      <c r="I649" s="54"/>
      <c r="J649" s="54"/>
    </row>
    <row r="650" spans="7:10" ht="15.75" customHeight="1" x14ac:dyDescent="0.2">
      <c r="G650" s="54"/>
      <c r="H650" s="54"/>
      <c r="I650" s="54"/>
      <c r="J650" s="54"/>
    </row>
    <row r="651" spans="7:10" ht="15.75" customHeight="1" x14ac:dyDescent="0.2">
      <c r="G651" s="54"/>
      <c r="H651" s="54"/>
      <c r="I651" s="54"/>
      <c r="J651" s="54"/>
    </row>
    <row r="652" spans="7:10" ht="15.75" customHeight="1" x14ac:dyDescent="0.2">
      <c r="G652" s="54"/>
      <c r="H652" s="54"/>
      <c r="I652" s="54"/>
      <c r="J652" s="54"/>
    </row>
    <row r="653" spans="7:10" ht="15.75" customHeight="1" x14ac:dyDescent="0.2">
      <c r="G653" s="54"/>
      <c r="H653" s="54"/>
      <c r="I653" s="54"/>
      <c r="J653" s="54"/>
    </row>
    <row r="654" spans="7:10" ht="15.75" customHeight="1" x14ac:dyDescent="0.2">
      <c r="G654" s="54"/>
      <c r="H654" s="54"/>
      <c r="I654" s="54"/>
      <c r="J654" s="54"/>
    </row>
    <row r="655" spans="7:10" ht="15.75" customHeight="1" x14ac:dyDescent="0.2">
      <c r="G655" s="54"/>
      <c r="H655" s="54"/>
      <c r="I655" s="54"/>
      <c r="J655" s="54"/>
    </row>
    <row r="656" spans="7:10" ht="15.75" customHeight="1" x14ac:dyDescent="0.2">
      <c r="G656" s="54"/>
      <c r="H656" s="54"/>
      <c r="I656" s="54"/>
      <c r="J656" s="54"/>
    </row>
    <row r="657" spans="7:10" ht="15.75" customHeight="1" x14ac:dyDescent="0.2">
      <c r="G657" s="54"/>
      <c r="H657" s="54"/>
      <c r="I657" s="54"/>
      <c r="J657" s="54"/>
    </row>
    <row r="658" spans="7:10" ht="15.75" customHeight="1" x14ac:dyDescent="0.2">
      <c r="G658" s="54"/>
      <c r="H658" s="54"/>
      <c r="I658" s="54"/>
      <c r="J658" s="54"/>
    </row>
    <row r="659" spans="7:10" ht="15.75" customHeight="1" x14ac:dyDescent="0.2">
      <c r="G659" s="54"/>
      <c r="H659" s="54"/>
      <c r="I659" s="54"/>
      <c r="J659" s="54"/>
    </row>
    <row r="660" spans="7:10" ht="15.75" customHeight="1" x14ac:dyDescent="0.2">
      <c r="G660" s="54"/>
      <c r="H660" s="54"/>
      <c r="I660" s="54"/>
      <c r="J660" s="54"/>
    </row>
    <row r="661" spans="7:10" ht="15.75" customHeight="1" x14ac:dyDescent="0.2">
      <c r="G661" s="54"/>
      <c r="H661" s="54"/>
      <c r="I661" s="54"/>
      <c r="J661" s="54"/>
    </row>
    <row r="662" spans="7:10" ht="15.75" customHeight="1" x14ac:dyDescent="0.2">
      <c r="G662" s="54"/>
      <c r="H662" s="54"/>
      <c r="I662" s="54"/>
      <c r="J662" s="54"/>
    </row>
    <row r="663" spans="7:10" ht="15.75" customHeight="1" x14ac:dyDescent="0.2">
      <c r="G663" s="54"/>
      <c r="H663" s="54"/>
      <c r="I663" s="54"/>
      <c r="J663" s="54"/>
    </row>
    <row r="664" spans="7:10" ht="15.75" customHeight="1" x14ac:dyDescent="0.2">
      <c r="G664" s="54"/>
      <c r="H664" s="54"/>
      <c r="I664" s="54"/>
      <c r="J664" s="54"/>
    </row>
    <row r="665" spans="7:10" ht="15.75" customHeight="1" x14ac:dyDescent="0.2">
      <c r="G665" s="54"/>
      <c r="H665" s="54"/>
      <c r="I665" s="54"/>
      <c r="J665" s="54"/>
    </row>
    <row r="666" spans="7:10" ht="15.75" customHeight="1" x14ac:dyDescent="0.2">
      <c r="G666" s="54"/>
      <c r="H666" s="54"/>
      <c r="I666" s="54"/>
      <c r="J666" s="54"/>
    </row>
    <row r="667" spans="7:10" ht="15.75" customHeight="1" x14ac:dyDescent="0.2">
      <c r="G667" s="54"/>
      <c r="H667" s="54"/>
      <c r="I667" s="54"/>
      <c r="J667" s="54"/>
    </row>
    <row r="668" spans="7:10" ht="15.75" customHeight="1" x14ac:dyDescent="0.2">
      <c r="G668" s="54"/>
      <c r="H668" s="54"/>
      <c r="I668" s="54"/>
      <c r="J668" s="54"/>
    </row>
    <row r="669" spans="7:10" ht="15.75" customHeight="1" x14ac:dyDescent="0.2">
      <c r="G669" s="54"/>
      <c r="H669" s="54"/>
      <c r="I669" s="54"/>
      <c r="J669" s="54"/>
    </row>
    <row r="670" spans="7:10" ht="15.75" customHeight="1" x14ac:dyDescent="0.2">
      <c r="G670" s="54"/>
      <c r="H670" s="54"/>
      <c r="I670" s="54"/>
      <c r="J670" s="54"/>
    </row>
    <row r="671" spans="7:10" ht="15.75" customHeight="1" x14ac:dyDescent="0.2">
      <c r="G671" s="54"/>
      <c r="H671" s="54"/>
      <c r="I671" s="54"/>
      <c r="J671" s="54"/>
    </row>
    <row r="672" spans="7:10" ht="15.75" customHeight="1" x14ac:dyDescent="0.2">
      <c r="G672" s="54"/>
      <c r="H672" s="54"/>
      <c r="I672" s="54"/>
      <c r="J672" s="54"/>
    </row>
    <row r="673" spans="7:10" ht="15.75" customHeight="1" x14ac:dyDescent="0.2">
      <c r="G673" s="54"/>
      <c r="H673" s="54"/>
      <c r="I673" s="54"/>
      <c r="J673" s="54"/>
    </row>
    <row r="674" spans="7:10" ht="15.75" customHeight="1" x14ac:dyDescent="0.2">
      <c r="G674" s="54"/>
      <c r="H674" s="54"/>
      <c r="I674" s="54"/>
      <c r="J674" s="54"/>
    </row>
    <row r="675" spans="7:10" ht="15.75" customHeight="1" x14ac:dyDescent="0.2">
      <c r="G675" s="54"/>
      <c r="H675" s="54"/>
      <c r="I675" s="54"/>
      <c r="J675" s="54"/>
    </row>
    <row r="676" spans="7:10" ht="15.75" customHeight="1" x14ac:dyDescent="0.2">
      <c r="G676" s="54"/>
      <c r="H676" s="54"/>
      <c r="I676" s="54"/>
      <c r="J676" s="54"/>
    </row>
    <row r="677" spans="7:10" ht="15.75" customHeight="1" x14ac:dyDescent="0.2">
      <c r="G677" s="54"/>
      <c r="H677" s="54"/>
      <c r="I677" s="54"/>
      <c r="J677" s="54"/>
    </row>
    <row r="678" spans="7:10" ht="15.75" customHeight="1" x14ac:dyDescent="0.2">
      <c r="G678" s="54"/>
      <c r="H678" s="54"/>
      <c r="I678" s="54"/>
      <c r="J678" s="54"/>
    </row>
    <row r="679" spans="7:10" ht="15.75" customHeight="1" x14ac:dyDescent="0.2">
      <c r="G679" s="54"/>
      <c r="H679" s="54"/>
      <c r="I679" s="54"/>
      <c r="J679" s="54"/>
    </row>
    <row r="680" spans="7:10" ht="15.75" customHeight="1" x14ac:dyDescent="0.2">
      <c r="G680" s="54"/>
      <c r="H680" s="54"/>
      <c r="I680" s="54"/>
      <c r="J680" s="54"/>
    </row>
    <row r="681" spans="7:10" ht="15.75" customHeight="1" x14ac:dyDescent="0.2">
      <c r="G681" s="54"/>
      <c r="H681" s="54"/>
      <c r="I681" s="54"/>
      <c r="J681" s="54"/>
    </row>
    <row r="682" spans="7:10" ht="15.75" customHeight="1" x14ac:dyDescent="0.2">
      <c r="G682" s="54"/>
      <c r="H682" s="54"/>
      <c r="I682" s="54"/>
      <c r="J682" s="54"/>
    </row>
    <row r="683" spans="7:10" ht="15.75" customHeight="1" x14ac:dyDescent="0.2">
      <c r="G683" s="54"/>
      <c r="H683" s="54"/>
      <c r="I683" s="54"/>
      <c r="J683" s="54"/>
    </row>
    <row r="684" spans="7:10" ht="15.75" customHeight="1" x14ac:dyDescent="0.2">
      <c r="G684" s="54"/>
      <c r="H684" s="54"/>
      <c r="I684" s="54"/>
      <c r="J684" s="54"/>
    </row>
    <row r="685" spans="7:10" ht="15.75" customHeight="1" x14ac:dyDescent="0.2">
      <c r="G685" s="54"/>
      <c r="H685" s="54"/>
      <c r="I685" s="54"/>
      <c r="J685" s="54"/>
    </row>
    <row r="686" spans="7:10" ht="15.75" customHeight="1" x14ac:dyDescent="0.2">
      <c r="G686" s="54"/>
      <c r="H686" s="54"/>
      <c r="I686" s="54"/>
      <c r="J686" s="54"/>
    </row>
    <row r="687" spans="7:10" ht="15.75" customHeight="1" x14ac:dyDescent="0.2">
      <c r="G687" s="54"/>
      <c r="H687" s="54"/>
      <c r="I687" s="54"/>
      <c r="J687" s="54"/>
    </row>
    <row r="688" spans="7:10" ht="15.75" customHeight="1" x14ac:dyDescent="0.2">
      <c r="G688" s="54"/>
      <c r="H688" s="54"/>
      <c r="I688" s="54"/>
      <c r="J688" s="54"/>
    </row>
    <row r="689" spans="7:10" ht="15.75" customHeight="1" x14ac:dyDescent="0.2">
      <c r="G689" s="54"/>
      <c r="H689" s="54"/>
      <c r="I689" s="54"/>
      <c r="J689" s="54"/>
    </row>
    <row r="690" spans="7:10" ht="15.75" customHeight="1" x14ac:dyDescent="0.2">
      <c r="G690" s="54"/>
      <c r="H690" s="54"/>
      <c r="I690" s="54"/>
      <c r="J690" s="54"/>
    </row>
    <row r="691" spans="7:10" ht="15.75" customHeight="1" x14ac:dyDescent="0.2">
      <c r="G691" s="54"/>
      <c r="H691" s="54"/>
      <c r="I691" s="54"/>
      <c r="J691" s="54"/>
    </row>
    <row r="692" spans="7:10" ht="15.75" customHeight="1" x14ac:dyDescent="0.2">
      <c r="G692" s="54"/>
      <c r="H692" s="54"/>
      <c r="I692" s="54"/>
      <c r="J692" s="54"/>
    </row>
    <row r="693" spans="7:10" ht="15.75" customHeight="1" x14ac:dyDescent="0.2">
      <c r="G693" s="54"/>
      <c r="H693" s="54"/>
      <c r="I693" s="54"/>
      <c r="J693" s="54"/>
    </row>
    <row r="694" spans="7:10" ht="15.75" customHeight="1" x14ac:dyDescent="0.2">
      <c r="G694" s="54"/>
      <c r="H694" s="54"/>
      <c r="I694" s="54"/>
      <c r="J694" s="54"/>
    </row>
    <row r="695" spans="7:10" ht="15.75" customHeight="1" x14ac:dyDescent="0.2">
      <c r="G695" s="54"/>
      <c r="H695" s="54"/>
      <c r="I695" s="54"/>
      <c r="J695" s="54"/>
    </row>
    <row r="696" spans="7:10" ht="15.75" customHeight="1" x14ac:dyDescent="0.2">
      <c r="G696" s="54"/>
      <c r="H696" s="54"/>
      <c r="I696" s="54"/>
      <c r="J696" s="54"/>
    </row>
    <row r="697" spans="7:10" ht="15.75" customHeight="1" x14ac:dyDescent="0.2">
      <c r="G697" s="54"/>
      <c r="H697" s="54"/>
      <c r="I697" s="54"/>
      <c r="J697" s="54"/>
    </row>
    <row r="698" spans="7:10" ht="15.75" customHeight="1" x14ac:dyDescent="0.2">
      <c r="G698" s="54"/>
      <c r="H698" s="54"/>
      <c r="I698" s="54"/>
      <c r="J698" s="54"/>
    </row>
    <row r="699" spans="7:10" ht="15.75" customHeight="1" x14ac:dyDescent="0.2">
      <c r="G699" s="54"/>
      <c r="H699" s="54"/>
      <c r="I699" s="54"/>
      <c r="J699" s="54"/>
    </row>
    <row r="700" spans="7:10" ht="15.75" customHeight="1" x14ac:dyDescent="0.2">
      <c r="G700" s="54"/>
      <c r="H700" s="54"/>
      <c r="I700" s="54"/>
      <c r="J700" s="54"/>
    </row>
    <row r="701" spans="7:10" ht="15.75" customHeight="1" x14ac:dyDescent="0.2">
      <c r="G701" s="54"/>
      <c r="H701" s="54"/>
      <c r="I701" s="54"/>
      <c r="J701" s="54"/>
    </row>
    <row r="702" spans="7:10" ht="15.75" customHeight="1" x14ac:dyDescent="0.2">
      <c r="G702" s="54"/>
      <c r="H702" s="54"/>
      <c r="I702" s="54"/>
      <c r="J702" s="54"/>
    </row>
    <row r="703" spans="7:10" ht="15.75" customHeight="1" x14ac:dyDescent="0.2">
      <c r="G703" s="54"/>
      <c r="H703" s="54"/>
      <c r="I703" s="54"/>
      <c r="J703" s="54"/>
    </row>
    <row r="704" spans="7:10" ht="15.75" customHeight="1" x14ac:dyDescent="0.2">
      <c r="G704" s="54"/>
      <c r="H704" s="54"/>
      <c r="I704" s="54"/>
      <c r="J704" s="54"/>
    </row>
    <row r="705" spans="7:10" ht="15.75" customHeight="1" x14ac:dyDescent="0.2">
      <c r="G705" s="54"/>
      <c r="H705" s="54"/>
      <c r="I705" s="54"/>
      <c r="J705" s="54"/>
    </row>
    <row r="706" spans="7:10" ht="15.75" customHeight="1" x14ac:dyDescent="0.2">
      <c r="G706" s="54"/>
      <c r="H706" s="54"/>
      <c r="I706" s="54"/>
      <c r="J706" s="54"/>
    </row>
    <row r="707" spans="7:10" ht="15.75" customHeight="1" x14ac:dyDescent="0.2">
      <c r="G707" s="54"/>
      <c r="H707" s="54"/>
      <c r="I707" s="54"/>
      <c r="J707" s="54"/>
    </row>
    <row r="708" spans="7:10" ht="15.75" customHeight="1" x14ac:dyDescent="0.2">
      <c r="G708" s="54"/>
      <c r="H708" s="54"/>
      <c r="I708" s="54"/>
      <c r="J708" s="54"/>
    </row>
    <row r="709" spans="7:10" ht="15.75" customHeight="1" x14ac:dyDescent="0.2">
      <c r="G709" s="54"/>
      <c r="H709" s="54"/>
      <c r="I709" s="54"/>
      <c r="J709" s="54"/>
    </row>
    <row r="710" spans="7:10" ht="15.75" customHeight="1" x14ac:dyDescent="0.2">
      <c r="G710" s="54"/>
      <c r="H710" s="54"/>
      <c r="I710" s="54"/>
      <c r="J710" s="54"/>
    </row>
    <row r="711" spans="7:10" ht="15.75" customHeight="1" x14ac:dyDescent="0.2">
      <c r="G711" s="54"/>
      <c r="H711" s="54"/>
      <c r="I711" s="54"/>
      <c r="J711" s="54"/>
    </row>
    <row r="712" spans="7:10" ht="15.75" customHeight="1" x14ac:dyDescent="0.2">
      <c r="G712" s="54"/>
      <c r="H712" s="54"/>
      <c r="I712" s="54"/>
      <c r="J712" s="54"/>
    </row>
    <row r="713" spans="7:10" ht="15.75" customHeight="1" x14ac:dyDescent="0.2">
      <c r="G713" s="54"/>
      <c r="H713" s="54"/>
      <c r="I713" s="54"/>
      <c r="J713" s="54"/>
    </row>
    <row r="714" spans="7:10" ht="15.75" customHeight="1" x14ac:dyDescent="0.2">
      <c r="G714" s="54"/>
      <c r="H714" s="54"/>
      <c r="I714" s="54"/>
      <c r="J714" s="54"/>
    </row>
    <row r="715" spans="7:10" ht="15.75" customHeight="1" x14ac:dyDescent="0.2">
      <c r="G715" s="54"/>
      <c r="H715" s="54"/>
      <c r="I715" s="54"/>
      <c r="J715" s="54"/>
    </row>
    <row r="716" spans="7:10" ht="15.75" customHeight="1" x14ac:dyDescent="0.2">
      <c r="G716" s="54"/>
      <c r="H716" s="54"/>
      <c r="I716" s="54"/>
      <c r="J716" s="54"/>
    </row>
    <row r="717" spans="7:10" ht="15.75" customHeight="1" x14ac:dyDescent="0.2">
      <c r="G717" s="54"/>
      <c r="H717" s="54"/>
      <c r="I717" s="54"/>
      <c r="J717" s="54"/>
    </row>
    <row r="718" spans="7:10" ht="15.75" customHeight="1" x14ac:dyDescent="0.2">
      <c r="G718" s="54"/>
      <c r="H718" s="54"/>
      <c r="I718" s="54"/>
      <c r="J718" s="54"/>
    </row>
    <row r="719" spans="7:10" ht="15.75" customHeight="1" x14ac:dyDescent="0.2">
      <c r="G719" s="54"/>
      <c r="H719" s="54"/>
      <c r="I719" s="54"/>
      <c r="J719" s="54"/>
    </row>
    <row r="720" spans="7:10" ht="15.75" customHeight="1" x14ac:dyDescent="0.2">
      <c r="G720" s="54"/>
      <c r="H720" s="54"/>
      <c r="I720" s="54"/>
      <c r="J720" s="54"/>
    </row>
    <row r="721" spans="7:10" ht="15.75" customHeight="1" x14ac:dyDescent="0.2">
      <c r="G721" s="54"/>
      <c r="H721" s="54"/>
      <c r="I721" s="54"/>
      <c r="J721" s="54"/>
    </row>
    <row r="722" spans="7:10" ht="15.75" customHeight="1" x14ac:dyDescent="0.2">
      <c r="G722" s="54"/>
      <c r="H722" s="54"/>
      <c r="I722" s="54"/>
      <c r="J722" s="54"/>
    </row>
    <row r="723" spans="7:10" ht="15.75" customHeight="1" x14ac:dyDescent="0.2">
      <c r="G723" s="54"/>
      <c r="H723" s="54"/>
      <c r="I723" s="54"/>
      <c r="J723" s="54"/>
    </row>
    <row r="724" spans="7:10" ht="15.75" customHeight="1" x14ac:dyDescent="0.2">
      <c r="G724" s="54"/>
      <c r="H724" s="54"/>
      <c r="I724" s="54"/>
      <c r="J724" s="54"/>
    </row>
    <row r="725" spans="7:10" ht="15.75" customHeight="1" x14ac:dyDescent="0.2">
      <c r="G725" s="54"/>
      <c r="H725" s="54"/>
      <c r="I725" s="54"/>
      <c r="J725" s="54"/>
    </row>
    <row r="726" spans="7:10" ht="15.75" customHeight="1" x14ac:dyDescent="0.2">
      <c r="G726" s="54"/>
      <c r="H726" s="54"/>
      <c r="I726" s="54"/>
      <c r="J726" s="54"/>
    </row>
    <row r="727" spans="7:10" ht="15.75" customHeight="1" x14ac:dyDescent="0.2">
      <c r="G727" s="54"/>
      <c r="H727" s="54"/>
      <c r="I727" s="54"/>
      <c r="J727" s="54"/>
    </row>
    <row r="728" spans="7:10" ht="15.75" customHeight="1" x14ac:dyDescent="0.2">
      <c r="G728" s="54"/>
      <c r="H728" s="54"/>
      <c r="I728" s="54"/>
      <c r="J728" s="54"/>
    </row>
    <row r="729" spans="7:10" ht="15.75" customHeight="1" x14ac:dyDescent="0.2">
      <c r="G729" s="54"/>
      <c r="H729" s="54"/>
      <c r="I729" s="54"/>
      <c r="J729" s="54"/>
    </row>
    <row r="730" spans="7:10" ht="15.75" customHeight="1" x14ac:dyDescent="0.2">
      <c r="G730" s="54"/>
      <c r="H730" s="54"/>
      <c r="I730" s="54"/>
      <c r="J730" s="54"/>
    </row>
    <row r="731" spans="7:10" ht="15.75" customHeight="1" x14ac:dyDescent="0.2">
      <c r="G731" s="54"/>
      <c r="H731" s="54"/>
      <c r="I731" s="54"/>
      <c r="J731" s="54"/>
    </row>
    <row r="732" spans="7:10" ht="15.75" customHeight="1" x14ac:dyDescent="0.2">
      <c r="G732" s="54"/>
      <c r="H732" s="54"/>
      <c r="I732" s="54"/>
      <c r="J732" s="54"/>
    </row>
    <row r="733" spans="7:10" ht="15.75" customHeight="1" x14ac:dyDescent="0.2">
      <c r="G733" s="54"/>
      <c r="H733" s="54"/>
      <c r="I733" s="54"/>
      <c r="J733" s="54"/>
    </row>
    <row r="734" spans="7:10" ht="15.75" customHeight="1" x14ac:dyDescent="0.2">
      <c r="G734" s="54"/>
      <c r="H734" s="54"/>
      <c r="I734" s="54"/>
      <c r="J734" s="54"/>
    </row>
    <row r="735" spans="7:10" ht="15.75" customHeight="1" x14ac:dyDescent="0.2">
      <c r="G735" s="54"/>
      <c r="H735" s="54"/>
      <c r="I735" s="54"/>
      <c r="J735" s="54"/>
    </row>
    <row r="736" spans="7:10" ht="15.75" customHeight="1" x14ac:dyDescent="0.2">
      <c r="G736" s="54"/>
      <c r="H736" s="54"/>
      <c r="I736" s="54"/>
      <c r="J736" s="54"/>
    </row>
    <row r="737" spans="7:10" ht="15.75" customHeight="1" x14ac:dyDescent="0.2">
      <c r="G737" s="54"/>
      <c r="H737" s="54"/>
      <c r="I737" s="54"/>
      <c r="J737" s="54"/>
    </row>
    <row r="738" spans="7:10" ht="15.75" customHeight="1" x14ac:dyDescent="0.2">
      <c r="G738" s="54"/>
      <c r="H738" s="54"/>
      <c r="I738" s="54"/>
      <c r="J738" s="54"/>
    </row>
    <row r="739" spans="7:10" ht="15.75" customHeight="1" x14ac:dyDescent="0.2">
      <c r="G739" s="54"/>
      <c r="H739" s="54"/>
      <c r="I739" s="54"/>
      <c r="J739" s="54"/>
    </row>
    <row r="740" spans="7:10" ht="15.75" customHeight="1" x14ac:dyDescent="0.2">
      <c r="G740" s="54"/>
      <c r="H740" s="54"/>
      <c r="I740" s="54"/>
      <c r="J740" s="54"/>
    </row>
    <row r="741" spans="7:10" ht="15.75" customHeight="1" x14ac:dyDescent="0.2">
      <c r="G741" s="54"/>
      <c r="H741" s="54"/>
      <c r="I741" s="54"/>
      <c r="J741" s="54"/>
    </row>
    <row r="742" spans="7:10" ht="15.75" customHeight="1" x14ac:dyDescent="0.2">
      <c r="G742" s="54"/>
      <c r="H742" s="54"/>
      <c r="I742" s="54"/>
      <c r="J742" s="54"/>
    </row>
    <row r="743" spans="7:10" ht="15.75" customHeight="1" x14ac:dyDescent="0.2">
      <c r="G743" s="54"/>
      <c r="H743" s="54"/>
      <c r="I743" s="54"/>
      <c r="J743" s="54"/>
    </row>
    <row r="744" spans="7:10" ht="15.75" customHeight="1" x14ac:dyDescent="0.2">
      <c r="G744" s="54"/>
      <c r="H744" s="54"/>
      <c r="I744" s="54"/>
      <c r="J744" s="54"/>
    </row>
    <row r="745" spans="7:10" ht="15.75" customHeight="1" x14ac:dyDescent="0.2">
      <c r="G745" s="54"/>
      <c r="H745" s="54"/>
      <c r="I745" s="54"/>
      <c r="J745" s="54"/>
    </row>
    <row r="746" spans="7:10" ht="15.75" customHeight="1" x14ac:dyDescent="0.2">
      <c r="G746" s="54"/>
      <c r="H746" s="54"/>
      <c r="I746" s="54"/>
      <c r="J746" s="54"/>
    </row>
    <row r="747" spans="7:10" ht="15.75" customHeight="1" x14ac:dyDescent="0.2">
      <c r="G747" s="54"/>
      <c r="H747" s="54"/>
      <c r="I747" s="54"/>
      <c r="J747" s="54"/>
    </row>
    <row r="748" spans="7:10" ht="15.75" customHeight="1" x14ac:dyDescent="0.2">
      <c r="G748" s="54"/>
      <c r="H748" s="54"/>
      <c r="I748" s="54"/>
      <c r="J748" s="54"/>
    </row>
    <row r="749" spans="7:10" ht="15.75" customHeight="1" x14ac:dyDescent="0.2">
      <c r="G749" s="54"/>
      <c r="H749" s="54"/>
      <c r="I749" s="54"/>
      <c r="J749" s="54"/>
    </row>
    <row r="750" spans="7:10" ht="15.75" customHeight="1" x14ac:dyDescent="0.2">
      <c r="G750" s="54"/>
      <c r="H750" s="54"/>
      <c r="I750" s="54"/>
      <c r="J750" s="54"/>
    </row>
    <row r="751" spans="7:10" ht="15.75" customHeight="1" x14ac:dyDescent="0.2">
      <c r="G751" s="54"/>
      <c r="H751" s="54"/>
      <c r="I751" s="54"/>
      <c r="J751" s="54"/>
    </row>
    <row r="752" spans="7:10" ht="15.75" customHeight="1" x14ac:dyDescent="0.2">
      <c r="G752" s="54"/>
      <c r="H752" s="54"/>
      <c r="I752" s="54"/>
      <c r="J752" s="54"/>
    </row>
    <row r="753" spans="7:10" ht="15.75" customHeight="1" x14ac:dyDescent="0.2">
      <c r="G753" s="54"/>
      <c r="H753" s="54"/>
      <c r="I753" s="54"/>
      <c r="J753" s="54"/>
    </row>
    <row r="754" spans="7:10" ht="15.75" customHeight="1" x14ac:dyDescent="0.2">
      <c r="G754" s="54"/>
      <c r="H754" s="54"/>
      <c r="I754" s="54"/>
      <c r="J754" s="54"/>
    </row>
    <row r="755" spans="7:10" ht="15.75" customHeight="1" x14ac:dyDescent="0.2">
      <c r="G755" s="54"/>
      <c r="H755" s="54"/>
      <c r="I755" s="54"/>
      <c r="J755" s="54"/>
    </row>
    <row r="756" spans="7:10" ht="15.75" customHeight="1" x14ac:dyDescent="0.2">
      <c r="G756" s="54"/>
      <c r="H756" s="54"/>
      <c r="I756" s="54"/>
      <c r="J756" s="54"/>
    </row>
    <row r="757" spans="7:10" ht="15.75" customHeight="1" x14ac:dyDescent="0.2">
      <c r="G757" s="54"/>
      <c r="H757" s="54"/>
      <c r="I757" s="54"/>
      <c r="J757" s="54"/>
    </row>
    <row r="758" spans="7:10" ht="15.75" customHeight="1" x14ac:dyDescent="0.2">
      <c r="G758" s="54"/>
      <c r="H758" s="54"/>
      <c r="I758" s="54"/>
      <c r="J758" s="54"/>
    </row>
    <row r="759" spans="7:10" ht="15.75" customHeight="1" x14ac:dyDescent="0.2">
      <c r="G759" s="54"/>
      <c r="H759" s="54"/>
      <c r="I759" s="54"/>
      <c r="J759" s="54"/>
    </row>
    <row r="760" spans="7:10" ht="15.75" customHeight="1" x14ac:dyDescent="0.2">
      <c r="G760" s="54"/>
      <c r="H760" s="54"/>
      <c r="I760" s="54"/>
      <c r="J760" s="54"/>
    </row>
    <row r="761" spans="7:10" ht="15.75" customHeight="1" x14ac:dyDescent="0.2">
      <c r="G761" s="54"/>
      <c r="H761" s="54"/>
      <c r="I761" s="54"/>
      <c r="J761" s="54"/>
    </row>
    <row r="762" spans="7:10" ht="15.75" customHeight="1" x14ac:dyDescent="0.2">
      <c r="G762" s="54"/>
      <c r="H762" s="54"/>
      <c r="I762" s="54"/>
      <c r="J762" s="54"/>
    </row>
    <row r="763" spans="7:10" ht="15.75" customHeight="1" x14ac:dyDescent="0.2">
      <c r="G763" s="54"/>
      <c r="H763" s="54"/>
      <c r="I763" s="54"/>
      <c r="J763" s="54"/>
    </row>
    <row r="764" spans="7:10" ht="15.75" customHeight="1" x14ac:dyDescent="0.2">
      <c r="G764" s="54"/>
      <c r="H764" s="54"/>
      <c r="I764" s="54"/>
      <c r="J764" s="54"/>
    </row>
    <row r="765" spans="7:10" ht="15.75" customHeight="1" x14ac:dyDescent="0.2">
      <c r="G765" s="54"/>
      <c r="H765" s="54"/>
      <c r="I765" s="54"/>
      <c r="J765" s="54"/>
    </row>
    <row r="766" spans="7:10" ht="15.75" customHeight="1" x14ac:dyDescent="0.2">
      <c r="G766" s="54"/>
      <c r="H766" s="54"/>
      <c r="I766" s="54"/>
      <c r="J766" s="54"/>
    </row>
    <row r="767" spans="7:10" ht="15.75" customHeight="1" x14ac:dyDescent="0.2">
      <c r="G767" s="54"/>
      <c r="H767" s="54"/>
      <c r="I767" s="54"/>
      <c r="J767" s="54"/>
    </row>
    <row r="768" spans="7:10" ht="15.75" customHeight="1" x14ac:dyDescent="0.2">
      <c r="G768" s="54"/>
      <c r="H768" s="54"/>
      <c r="I768" s="54"/>
      <c r="J768" s="54"/>
    </row>
    <row r="769" spans="7:10" ht="15.75" customHeight="1" x14ac:dyDescent="0.2">
      <c r="G769" s="54"/>
      <c r="H769" s="54"/>
      <c r="I769" s="54"/>
      <c r="J769" s="54"/>
    </row>
    <row r="770" spans="7:10" ht="15.75" customHeight="1" x14ac:dyDescent="0.2">
      <c r="G770" s="54"/>
      <c r="H770" s="54"/>
      <c r="I770" s="54"/>
      <c r="J770" s="54"/>
    </row>
    <row r="771" spans="7:10" ht="15.75" customHeight="1" x14ac:dyDescent="0.2">
      <c r="G771" s="54"/>
      <c r="H771" s="54"/>
      <c r="I771" s="54"/>
      <c r="J771" s="54"/>
    </row>
    <row r="772" spans="7:10" ht="15.75" customHeight="1" x14ac:dyDescent="0.2">
      <c r="G772" s="54"/>
      <c r="H772" s="54"/>
      <c r="I772" s="54"/>
      <c r="J772" s="54"/>
    </row>
    <row r="773" spans="7:10" ht="15.75" customHeight="1" x14ac:dyDescent="0.2">
      <c r="G773" s="54"/>
      <c r="H773" s="54"/>
      <c r="I773" s="54"/>
      <c r="J773" s="54"/>
    </row>
    <row r="774" spans="7:10" ht="15.75" customHeight="1" x14ac:dyDescent="0.2">
      <c r="G774" s="54"/>
      <c r="H774" s="54"/>
      <c r="I774" s="54"/>
      <c r="J774" s="54"/>
    </row>
    <row r="775" spans="7:10" ht="15.75" customHeight="1" x14ac:dyDescent="0.2">
      <c r="G775" s="54"/>
      <c r="H775" s="54"/>
      <c r="I775" s="54"/>
      <c r="J775" s="54"/>
    </row>
    <row r="776" spans="7:10" ht="15.75" customHeight="1" x14ac:dyDescent="0.2">
      <c r="G776" s="54"/>
      <c r="H776" s="54"/>
      <c r="I776" s="54"/>
      <c r="J776" s="54"/>
    </row>
    <row r="777" spans="7:10" ht="15.75" customHeight="1" x14ac:dyDescent="0.2">
      <c r="G777" s="54"/>
      <c r="H777" s="54"/>
      <c r="I777" s="54"/>
      <c r="J777" s="54"/>
    </row>
    <row r="778" spans="7:10" ht="15.75" customHeight="1" x14ac:dyDescent="0.2">
      <c r="G778" s="54"/>
      <c r="H778" s="54"/>
      <c r="I778" s="54"/>
      <c r="J778" s="54"/>
    </row>
    <row r="779" spans="7:10" ht="15.75" customHeight="1" x14ac:dyDescent="0.2">
      <c r="G779" s="54"/>
      <c r="H779" s="54"/>
      <c r="I779" s="54"/>
      <c r="J779" s="54"/>
    </row>
    <row r="780" spans="7:10" ht="15.75" customHeight="1" x14ac:dyDescent="0.2">
      <c r="G780" s="54"/>
      <c r="H780" s="54"/>
      <c r="I780" s="54"/>
      <c r="J780" s="54"/>
    </row>
    <row r="781" spans="7:10" ht="15.75" customHeight="1" x14ac:dyDescent="0.2">
      <c r="G781" s="54"/>
      <c r="H781" s="54"/>
      <c r="I781" s="54"/>
      <c r="J781" s="54"/>
    </row>
    <row r="782" spans="7:10" ht="15.75" customHeight="1" x14ac:dyDescent="0.2">
      <c r="G782" s="54"/>
      <c r="H782" s="54"/>
      <c r="I782" s="54"/>
      <c r="J782" s="54"/>
    </row>
    <row r="783" spans="7:10" ht="15.75" customHeight="1" x14ac:dyDescent="0.2">
      <c r="G783" s="54"/>
      <c r="H783" s="54"/>
      <c r="I783" s="54"/>
      <c r="J783" s="54"/>
    </row>
    <row r="784" spans="7:10" ht="15.75" customHeight="1" x14ac:dyDescent="0.2">
      <c r="G784" s="54"/>
      <c r="H784" s="54"/>
      <c r="I784" s="54"/>
      <c r="J784" s="54"/>
    </row>
    <row r="785" spans="7:10" ht="15.75" customHeight="1" x14ac:dyDescent="0.2">
      <c r="G785" s="54"/>
      <c r="H785" s="54"/>
      <c r="I785" s="54"/>
      <c r="J785" s="54"/>
    </row>
    <row r="786" spans="7:10" ht="15.75" customHeight="1" x14ac:dyDescent="0.2">
      <c r="G786" s="54"/>
      <c r="H786" s="54"/>
      <c r="I786" s="54"/>
      <c r="J786" s="54"/>
    </row>
    <row r="787" spans="7:10" ht="15.75" customHeight="1" x14ac:dyDescent="0.2">
      <c r="G787" s="54"/>
      <c r="H787" s="54"/>
      <c r="I787" s="54"/>
      <c r="J787" s="54"/>
    </row>
    <row r="788" spans="7:10" ht="15.75" customHeight="1" x14ac:dyDescent="0.2">
      <c r="G788" s="54"/>
      <c r="H788" s="54"/>
      <c r="I788" s="54"/>
      <c r="J788" s="54"/>
    </row>
    <row r="789" spans="7:10" ht="15.75" customHeight="1" x14ac:dyDescent="0.2">
      <c r="G789" s="54"/>
      <c r="H789" s="54"/>
      <c r="I789" s="54"/>
      <c r="J789" s="54"/>
    </row>
    <row r="790" spans="7:10" ht="15.75" customHeight="1" x14ac:dyDescent="0.2">
      <c r="G790" s="54"/>
      <c r="H790" s="54"/>
      <c r="I790" s="54"/>
      <c r="J790" s="54"/>
    </row>
    <row r="791" spans="7:10" ht="15.75" customHeight="1" x14ac:dyDescent="0.2">
      <c r="G791" s="54"/>
      <c r="H791" s="54"/>
      <c r="I791" s="54"/>
      <c r="J791" s="54"/>
    </row>
    <row r="792" spans="7:10" ht="15.75" customHeight="1" x14ac:dyDescent="0.2">
      <c r="G792" s="54"/>
      <c r="H792" s="54"/>
      <c r="I792" s="54"/>
      <c r="J792" s="54"/>
    </row>
    <row r="793" spans="7:10" ht="15.75" customHeight="1" x14ac:dyDescent="0.2">
      <c r="G793" s="54"/>
      <c r="H793" s="54"/>
      <c r="I793" s="54"/>
      <c r="J793" s="54"/>
    </row>
    <row r="794" spans="7:10" ht="15.75" customHeight="1" x14ac:dyDescent="0.2">
      <c r="G794" s="54"/>
      <c r="H794" s="54"/>
      <c r="I794" s="54"/>
      <c r="J794" s="54"/>
    </row>
    <row r="795" spans="7:10" ht="15.75" customHeight="1" x14ac:dyDescent="0.2">
      <c r="G795" s="54"/>
      <c r="H795" s="54"/>
      <c r="I795" s="54"/>
      <c r="J795" s="54"/>
    </row>
    <row r="796" spans="7:10" ht="15.75" customHeight="1" x14ac:dyDescent="0.2">
      <c r="G796" s="54"/>
      <c r="H796" s="54"/>
      <c r="I796" s="54"/>
      <c r="J796" s="54"/>
    </row>
    <row r="797" spans="7:10" ht="15.75" customHeight="1" x14ac:dyDescent="0.2">
      <c r="G797" s="54"/>
      <c r="H797" s="54"/>
      <c r="I797" s="54"/>
      <c r="J797" s="54"/>
    </row>
    <row r="798" spans="7:10" ht="15.75" customHeight="1" x14ac:dyDescent="0.2">
      <c r="G798" s="54"/>
      <c r="H798" s="54"/>
      <c r="I798" s="54"/>
      <c r="J798" s="54"/>
    </row>
    <row r="799" spans="7:10" ht="15.75" customHeight="1" x14ac:dyDescent="0.2">
      <c r="G799" s="54"/>
      <c r="H799" s="54"/>
      <c r="I799" s="54"/>
      <c r="J799" s="54"/>
    </row>
    <row r="800" spans="7:10" ht="15.75" customHeight="1" x14ac:dyDescent="0.2">
      <c r="G800" s="54"/>
      <c r="H800" s="54"/>
      <c r="I800" s="54"/>
      <c r="J800" s="54"/>
    </row>
    <row r="801" spans="7:10" ht="15.75" customHeight="1" x14ac:dyDescent="0.2">
      <c r="G801" s="54"/>
      <c r="H801" s="54"/>
      <c r="I801" s="54"/>
      <c r="J801" s="54"/>
    </row>
    <row r="802" spans="7:10" ht="15.75" customHeight="1" x14ac:dyDescent="0.2">
      <c r="G802" s="54"/>
      <c r="H802" s="54"/>
      <c r="I802" s="54"/>
      <c r="J802" s="54"/>
    </row>
    <row r="803" spans="7:10" ht="15.75" customHeight="1" x14ac:dyDescent="0.2">
      <c r="G803" s="54"/>
      <c r="H803" s="54"/>
      <c r="I803" s="54"/>
      <c r="J803" s="54"/>
    </row>
    <row r="804" spans="7:10" ht="15.75" customHeight="1" x14ac:dyDescent="0.2">
      <c r="G804" s="54"/>
      <c r="H804" s="54"/>
      <c r="I804" s="54"/>
      <c r="J804" s="54"/>
    </row>
    <row r="805" spans="7:10" ht="15.75" customHeight="1" x14ac:dyDescent="0.2">
      <c r="G805" s="54"/>
      <c r="H805" s="54"/>
      <c r="I805" s="54"/>
      <c r="J805" s="54"/>
    </row>
    <row r="806" spans="7:10" ht="15.75" customHeight="1" x14ac:dyDescent="0.2">
      <c r="G806" s="54"/>
      <c r="H806" s="54"/>
      <c r="I806" s="54"/>
      <c r="J806" s="54"/>
    </row>
    <row r="807" spans="7:10" ht="15.75" customHeight="1" x14ac:dyDescent="0.2">
      <c r="G807" s="54"/>
      <c r="H807" s="54"/>
      <c r="I807" s="54"/>
      <c r="J807" s="54"/>
    </row>
    <row r="808" spans="7:10" ht="15.75" customHeight="1" x14ac:dyDescent="0.2">
      <c r="G808" s="54"/>
      <c r="H808" s="54"/>
      <c r="I808" s="54"/>
      <c r="J808" s="54"/>
    </row>
    <row r="809" spans="7:10" ht="15.75" customHeight="1" x14ac:dyDescent="0.2">
      <c r="G809" s="54"/>
      <c r="H809" s="54"/>
      <c r="I809" s="54"/>
      <c r="J809" s="54"/>
    </row>
    <row r="810" spans="7:10" ht="15.75" customHeight="1" x14ac:dyDescent="0.2">
      <c r="G810" s="54"/>
      <c r="H810" s="54"/>
      <c r="I810" s="54"/>
      <c r="J810" s="54"/>
    </row>
    <row r="811" spans="7:10" ht="15.75" customHeight="1" x14ac:dyDescent="0.2">
      <c r="G811" s="54"/>
      <c r="H811" s="54"/>
      <c r="I811" s="54"/>
      <c r="J811" s="54"/>
    </row>
    <row r="812" spans="7:10" ht="15.75" customHeight="1" x14ac:dyDescent="0.2">
      <c r="G812" s="54"/>
      <c r="H812" s="54"/>
      <c r="I812" s="54"/>
      <c r="J812" s="54"/>
    </row>
    <row r="813" spans="7:10" ht="15.75" customHeight="1" x14ac:dyDescent="0.2">
      <c r="G813" s="54"/>
      <c r="H813" s="54"/>
      <c r="I813" s="54"/>
      <c r="J813" s="54"/>
    </row>
    <row r="814" spans="7:10" ht="15.75" customHeight="1" x14ac:dyDescent="0.2">
      <c r="G814" s="54"/>
      <c r="H814" s="54"/>
      <c r="I814" s="54"/>
      <c r="J814" s="54"/>
    </row>
    <row r="815" spans="7:10" ht="15.75" customHeight="1" x14ac:dyDescent="0.2">
      <c r="G815" s="54"/>
      <c r="H815" s="54"/>
      <c r="I815" s="54"/>
      <c r="J815" s="54"/>
    </row>
    <row r="816" spans="7:10" ht="15.75" customHeight="1" x14ac:dyDescent="0.2">
      <c r="G816" s="54"/>
      <c r="H816" s="54"/>
      <c r="I816" s="54"/>
      <c r="J816" s="54"/>
    </row>
    <row r="817" spans="7:10" ht="15.75" customHeight="1" x14ac:dyDescent="0.2">
      <c r="G817" s="54"/>
      <c r="H817" s="54"/>
      <c r="I817" s="54"/>
      <c r="J817" s="54"/>
    </row>
    <row r="818" spans="7:10" ht="15.75" customHeight="1" x14ac:dyDescent="0.2">
      <c r="G818" s="54"/>
      <c r="H818" s="54"/>
      <c r="I818" s="54"/>
      <c r="J818" s="54"/>
    </row>
    <row r="819" spans="7:10" ht="15.75" customHeight="1" x14ac:dyDescent="0.2">
      <c r="G819" s="54"/>
      <c r="H819" s="54"/>
      <c r="I819" s="54"/>
      <c r="J819" s="54"/>
    </row>
    <row r="820" spans="7:10" ht="15.75" customHeight="1" x14ac:dyDescent="0.2">
      <c r="G820" s="54"/>
      <c r="H820" s="54"/>
      <c r="I820" s="54"/>
      <c r="J820" s="54"/>
    </row>
    <row r="821" spans="7:10" ht="15.75" customHeight="1" x14ac:dyDescent="0.2">
      <c r="G821" s="54"/>
      <c r="H821" s="54"/>
      <c r="I821" s="54"/>
      <c r="J821" s="54"/>
    </row>
    <row r="822" spans="7:10" ht="15.75" customHeight="1" x14ac:dyDescent="0.2">
      <c r="G822" s="54"/>
      <c r="H822" s="54"/>
      <c r="I822" s="54"/>
      <c r="J822" s="54"/>
    </row>
    <row r="823" spans="7:10" ht="15.75" customHeight="1" x14ac:dyDescent="0.2">
      <c r="G823" s="54"/>
      <c r="H823" s="54"/>
      <c r="I823" s="54"/>
      <c r="J823" s="54"/>
    </row>
    <row r="824" spans="7:10" ht="15.75" customHeight="1" x14ac:dyDescent="0.2">
      <c r="G824" s="54"/>
      <c r="H824" s="54"/>
      <c r="I824" s="54"/>
      <c r="J824" s="54"/>
    </row>
    <row r="825" spans="7:10" ht="15.75" customHeight="1" x14ac:dyDescent="0.2">
      <c r="G825" s="54"/>
      <c r="H825" s="54"/>
      <c r="I825" s="54"/>
      <c r="J825" s="54"/>
    </row>
    <row r="826" spans="7:10" ht="15.75" customHeight="1" x14ac:dyDescent="0.2">
      <c r="G826" s="54"/>
      <c r="H826" s="54"/>
      <c r="I826" s="54"/>
      <c r="J826" s="54"/>
    </row>
    <row r="827" spans="7:10" ht="15.75" customHeight="1" x14ac:dyDescent="0.2">
      <c r="G827" s="54"/>
      <c r="H827" s="54"/>
      <c r="I827" s="54"/>
      <c r="J827" s="54"/>
    </row>
    <row r="828" spans="7:10" ht="15.75" customHeight="1" x14ac:dyDescent="0.2">
      <c r="G828" s="54"/>
      <c r="H828" s="54"/>
      <c r="I828" s="54"/>
      <c r="J828" s="54"/>
    </row>
    <row r="829" spans="7:10" ht="15.75" customHeight="1" x14ac:dyDescent="0.2">
      <c r="G829" s="54"/>
      <c r="H829" s="54"/>
      <c r="I829" s="54"/>
      <c r="J829" s="54"/>
    </row>
    <row r="830" spans="7:10" ht="15.75" customHeight="1" x14ac:dyDescent="0.2">
      <c r="G830" s="54"/>
      <c r="H830" s="54"/>
      <c r="I830" s="54"/>
      <c r="J830" s="54"/>
    </row>
    <row r="831" spans="7:10" ht="15.75" customHeight="1" x14ac:dyDescent="0.2">
      <c r="G831" s="54"/>
      <c r="H831" s="54"/>
      <c r="I831" s="54"/>
      <c r="J831" s="54"/>
    </row>
    <row r="832" spans="7:10" ht="15.75" customHeight="1" x14ac:dyDescent="0.2">
      <c r="G832" s="54"/>
      <c r="H832" s="54"/>
      <c r="I832" s="54"/>
      <c r="J832" s="54"/>
    </row>
    <row r="833" spans="7:10" ht="15.75" customHeight="1" x14ac:dyDescent="0.2">
      <c r="G833" s="54"/>
      <c r="H833" s="54"/>
      <c r="I833" s="54"/>
      <c r="J833" s="54"/>
    </row>
    <row r="834" spans="7:10" ht="15.75" customHeight="1" x14ac:dyDescent="0.2">
      <c r="G834" s="54"/>
      <c r="H834" s="54"/>
      <c r="I834" s="54"/>
      <c r="J834" s="54"/>
    </row>
    <row r="835" spans="7:10" ht="15.75" customHeight="1" x14ac:dyDescent="0.2">
      <c r="G835" s="54"/>
      <c r="H835" s="54"/>
      <c r="I835" s="54"/>
      <c r="J835" s="54"/>
    </row>
    <row r="836" spans="7:10" ht="15.75" customHeight="1" x14ac:dyDescent="0.2">
      <c r="G836" s="54"/>
      <c r="H836" s="54"/>
      <c r="I836" s="54"/>
      <c r="J836" s="54"/>
    </row>
    <row r="837" spans="7:10" ht="15.75" customHeight="1" x14ac:dyDescent="0.2">
      <c r="G837" s="54"/>
      <c r="H837" s="54"/>
      <c r="I837" s="54"/>
      <c r="J837" s="54"/>
    </row>
    <row r="838" spans="7:10" ht="15.75" customHeight="1" x14ac:dyDescent="0.2">
      <c r="G838" s="54"/>
      <c r="H838" s="54"/>
      <c r="I838" s="54"/>
      <c r="J838" s="54"/>
    </row>
    <row r="839" spans="7:10" ht="15.75" customHeight="1" x14ac:dyDescent="0.2">
      <c r="G839" s="54"/>
      <c r="H839" s="54"/>
      <c r="I839" s="54"/>
      <c r="J839" s="54"/>
    </row>
    <row r="840" spans="7:10" ht="15.75" customHeight="1" x14ac:dyDescent="0.2">
      <c r="G840" s="54"/>
      <c r="H840" s="54"/>
      <c r="I840" s="54"/>
      <c r="J840" s="54"/>
    </row>
    <row r="841" spans="7:10" ht="15.75" customHeight="1" x14ac:dyDescent="0.2">
      <c r="G841" s="54"/>
      <c r="H841" s="54"/>
      <c r="I841" s="54"/>
      <c r="J841" s="54"/>
    </row>
    <row r="842" spans="7:10" ht="15.75" customHeight="1" x14ac:dyDescent="0.2">
      <c r="G842" s="54"/>
      <c r="H842" s="54"/>
      <c r="I842" s="54"/>
      <c r="J842" s="54"/>
    </row>
    <row r="843" spans="7:10" ht="15.75" customHeight="1" x14ac:dyDescent="0.2">
      <c r="G843" s="54"/>
      <c r="H843" s="54"/>
      <c r="I843" s="54"/>
      <c r="J843" s="54"/>
    </row>
    <row r="844" spans="7:10" ht="15.75" customHeight="1" x14ac:dyDescent="0.2">
      <c r="G844" s="54"/>
      <c r="H844" s="54"/>
      <c r="I844" s="54"/>
      <c r="J844" s="54"/>
    </row>
    <row r="845" spans="7:10" ht="15.75" customHeight="1" x14ac:dyDescent="0.2">
      <c r="G845" s="54"/>
      <c r="H845" s="54"/>
      <c r="I845" s="54"/>
      <c r="J845" s="54"/>
    </row>
    <row r="846" spans="7:10" ht="15.75" customHeight="1" x14ac:dyDescent="0.2">
      <c r="G846" s="54"/>
      <c r="H846" s="54"/>
      <c r="I846" s="54"/>
      <c r="J846" s="54"/>
    </row>
    <row r="847" spans="7:10" ht="15.75" customHeight="1" x14ac:dyDescent="0.2">
      <c r="G847" s="54"/>
      <c r="H847" s="54"/>
      <c r="I847" s="54"/>
      <c r="J847" s="54"/>
    </row>
    <row r="848" spans="7:10" ht="15.75" customHeight="1" x14ac:dyDescent="0.2">
      <c r="G848" s="54"/>
      <c r="H848" s="54"/>
      <c r="I848" s="54"/>
      <c r="J848" s="54"/>
    </row>
    <row r="849" spans="7:10" ht="15.75" customHeight="1" x14ac:dyDescent="0.2">
      <c r="G849" s="54"/>
      <c r="H849" s="54"/>
      <c r="I849" s="54"/>
      <c r="J849" s="54"/>
    </row>
    <row r="850" spans="7:10" ht="15.75" customHeight="1" x14ac:dyDescent="0.2">
      <c r="G850" s="54"/>
      <c r="H850" s="54"/>
      <c r="I850" s="54"/>
      <c r="J850" s="54"/>
    </row>
    <row r="851" spans="7:10" ht="15.75" customHeight="1" x14ac:dyDescent="0.2">
      <c r="G851" s="54"/>
      <c r="H851" s="54"/>
      <c r="I851" s="54"/>
      <c r="J851" s="54"/>
    </row>
    <row r="852" spans="7:10" ht="15.75" customHeight="1" x14ac:dyDescent="0.2">
      <c r="G852" s="54"/>
      <c r="H852" s="54"/>
      <c r="I852" s="54"/>
      <c r="J852" s="54"/>
    </row>
    <row r="853" spans="7:10" ht="15.75" customHeight="1" x14ac:dyDescent="0.2">
      <c r="G853" s="54"/>
      <c r="H853" s="54"/>
      <c r="I853" s="54"/>
      <c r="J853" s="54"/>
    </row>
    <row r="854" spans="7:10" ht="15.75" customHeight="1" x14ac:dyDescent="0.2">
      <c r="G854" s="54"/>
      <c r="H854" s="54"/>
      <c r="I854" s="54"/>
      <c r="J854" s="54"/>
    </row>
    <row r="855" spans="7:10" ht="15.75" customHeight="1" x14ac:dyDescent="0.2">
      <c r="G855" s="54"/>
      <c r="H855" s="54"/>
      <c r="I855" s="54"/>
      <c r="J855" s="54"/>
    </row>
    <row r="856" spans="7:10" ht="15.75" customHeight="1" x14ac:dyDescent="0.2">
      <c r="G856" s="54"/>
      <c r="H856" s="54"/>
      <c r="I856" s="54"/>
      <c r="J856" s="54"/>
    </row>
    <row r="857" spans="7:10" ht="15.75" customHeight="1" x14ac:dyDescent="0.2">
      <c r="G857" s="54"/>
      <c r="H857" s="54"/>
      <c r="I857" s="54"/>
      <c r="J857" s="54"/>
    </row>
    <row r="858" spans="7:10" ht="15.75" customHeight="1" x14ac:dyDescent="0.2">
      <c r="G858" s="54"/>
      <c r="H858" s="54"/>
      <c r="I858" s="54"/>
      <c r="J858" s="54"/>
    </row>
    <row r="859" spans="7:10" ht="15.75" customHeight="1" x14ac:dyDescent="0.2">
      <c r="G859" s="54"/>
      <c r="H859" s="54"/>
      <c r="I859" s="54"/>
      <c r="J859" s="54"/>
    </row>
    <row r="860" spans="7:10" ht="15.75" customHeight="1" x14ac:dyDescent="0.2">
      <c r="G860" s="54"/>
      <c r="H860" s="54"/>
      <c r="I860" s="54"/>
      <c r="J860" s="54"/>
    </row>
    <row r="861" spans="7:10" ht="15.75" customHeight="1" x14ac:dyDescent="0.2">
      <c r="G861" s="54"/>
      <c r="H861" s="54"/>
      <c r="I861" s="54"/>
      <c r="J861" s="54"/>
    </row>
    <row r="862" spans="7:10" ht="15.75" customHeight="1" x14ac:dyDescent="0.2">
      <c r="G862" s="54"/>
      <c r="H862" s="54"/>
      <c r="I862" s="54"/>
      <c r="J862" s="54"/>
    </row>
    <row r="863" spans="7:10" ht="15.75" customHeight="1" x14ac:dyDescent="0.2">
      <c r="G863" s="54"/>
      <c r="H863" s="54"/>
      <c r="I863" s="54"/>
      <c r="J863" s="54"/>
    </row>
    <row r="864" spans="7:10" ht="15.75" customHeight="1" x14ac:dyDescent="0.2">
      <c r="G864" s="54"/>
      <c r="H864" s="54"/>
      <c r="I864" s="54"/>
      <c r="J864" s="54"/>
    </row>
    <row r="865" spans="7:10" ht="15.75" customHeight="1" x14ac:dyDescent="0.2">
      <c r="G865" s="54"/>
      <c r="H865" s="54"/>
      <c r="I865" s="54"/>
      <c r="J865" s="54"/>
    </row>
    <row r="866" spans="7:10" ht="15.75" customHeight="1" x14ac:dyDescent="0.2">
      <c r="G866" s="54"/>
      <c r="H866" s="54"/>
      <c r="I866" s="54"/>
      <c r="J866" s="54"/>
    </row>
    <row r="867" spans="7:10" ht="15.75" customHeight="1" x14ac:dyDescent="0.2">
      <c r="G867" s="54"/>
      <c r="H867" s="54"/>
      <c r="I867" s="54"/>
      <c r="J867" s="54"/>
    </row>
    <row r="868" spans="7:10" ht="15.75" customHeight="1" x14ac:dyDescent="0.2">
      <c r="G868" s="54"/>
      <c r="H868" s="54"/>
      <c r="I868" s="54"/>
      <c r="J868" s="54"/>
    </row>
    <row r="869" spans="7:10" ht="15.75" customHeight="1" x14ac:dyDescent="0.2">
      <c r="G869" s="54"/>
      <c r="H869" s="54"/>
      <c r="I869" s="54"/>
      <c r="J869" s="54"/>
    </row>
    <row r="870" spans="7:10" ht="15.75" customHeight="1" x14ac:dyDescent="0.2">
      <c r="G870" s="54"/>
      <c r="H870" s="54"/>
      <c r="I870" s="54"/>
      <c r="J870" s="54"/>
    </row>
    <row r="871" spans="7:10" ht="15.75" customHeight="1" x14ac:dyDescent="0.2">
      <c r="G871" s="54"/>
      <c r="H871" s="54"/>
      <c r="I871" s="54"/>
      <c r="J871" s="54"/>
    </row>
    <row r="872" spans="7:10" ht="15.75" customHeight="1" x14ac:dyDescent="0.2">
      <c r="G872" s="54"/>
      <c r="H872" s="54"/>
      <c r="I872" s="54"/>
      <c r="J872" s="54"/>
    </row>
    <row r="873" spans="7:10" ht="15.75" customHeight="1" x14ac:dyDescent="0.2">
      <c r="G873" s="54"/>
      <c r="H873" s="54"/>
      <c r="I873" s="54"/>
      <c r="J873" s="54"/>
    </row>
    <row r="874" spans="7:10" ht="15.75" customHeight="1" x14ac:dyDescent="0.2">
      <c r="G874" s="54"/>
      <c r="H874" s="54"/>
      <c r="I874" s="54"/>
      <c r="J874" s="54"/>
    </row>
    <row r="875" spans="7:10" ht="15.75" customHeight="1" x14ac:dyDescent="0.2">
      <c r="G875" s="54"/>
      <c r="H875" s="54"/>
      <c r="I875" s="54"/>
      <c r="J875" s="54"/>
    </row>
    <row r="876" spans="7:10" ht="15.75" customHeight="1" x14ac:dyDescent="0.2">
      <c r="G876" s="54"/>
      <c r="H876" s="54"/>
      <c r="I876" s="54"/>
      <c r="J876" s="54"/>
    </row>
    <row r="877" spans="7:10" ht="15.75" customHeight="1" x14ac:dyDescent="0.2">
      <c r="G877" s="54"/>
      <c r="H877" s="54"/>
      <c r="I877" s="54"/>
      <c r="J877" s="54"/>
    </row>
    <row r="878" spans="7:10" ht="15.75" customHeight="1" x14ac:dyDescent="0.2">
      <c r="G878" s="54"/>
      <c r="H878" s="54"/>
      <c r="I878" s="54"/>
      <c r="J878" s="54"/>
    </row>
    <row r="879" spans="7:10" ht="15.75" customHeight="1" x14ac:dyDescent="0.2">
      <c r="G879" s="54"/>
      <c r="H879" s="54"/>
      <c r="I879" s="54"/>
      <c r="J879" s="54"/>
    </row>
    <row r="880" spans="7:10" ht="15.75" customHeight="1" x14ac:dyDescent="0.2">
      <c r="G880" s="54"/>
      <c r="H880" s="54"/>
      <c r="I880" s="54"/>
      <c r="J880" s="54"/>
    </row>
    <row r="881" spans="7:10" ht="15.75" customHeight="1" x14ac:dyDescent="0.2">
      <c r="G881" s="54"/>
      <c r="H881" s="54"/>
      <c r="I881" s="54"/>
      <c r="J881" s="54"/>
    </row>
    <row r="882" spans="7:10" ht="15.75" customHeight="1" x14ac:dyDescent="0.2">
      <c r="G882" s="54"/>
      <c r="H882" s="54"/>
      <c r="I882" s="54"/>
      <c r="J882" s="54"/>
    </row>
    <row r="883" spans="7:10" ht="15.75" customHeight="1" x14ac:dyDescent="0.2">
      <c r="G883" s="54"/>
      <c r="H883" s="54"/>
      <c r="I883" s="54"/>
      <c r="J883" s="54"/>
    </row>
    <row r="884" spans="7:10" ht="15.75" customHeight="1" x14ac:dyDescent="0.2">
      <c r="G884" s="54"/>
      <c r="H884" s="54"/>
      <c r="I884" s="54"/>
      <c r="J884" s="54"/>
    </row>
    <row r="885" spans="7:10" ht="15.75" customHeight="1" x14ac:dyDescent="0.2">
      <c r="G885" s="54"/>
      <c r="H885" s="54"/>
      <c r="I885" s="54"/>
      <c r="J885" s="54"/>
    </row>
    <row r="886" spans="7:10" ht="15.75" customHeight="1" x14ac:dyDescent="0.2">
      <c r="G886" s="54"/>
      <c r="H886" s="54"/>
      <c r="I886" s="54"/>
      <c r="J886" s="54"/>
    </row>
    <row r="887" spans="7:10" ht="15.75" customHeight="1" x14ac:dyDescent="0.2">
      <c r="G887" s="54"/>
      <c r="H887" s="54"/>
      <c r="I887" s="54"/>
      <c r="J887" s="54"/>
    </row>
    <row r="888" spans="7:10" ht="15.75" customHeight="1" x14ac:dyDescent="0.2">
      <c r="G888" s="54"/>
      <c r="H888" s="54"/>
      <c r="I888" s="54"/>
      <c r="J888" s="54"/>
    </row>
    <row r="889" spans="7:10" ht="15.75" customHeight="1" x14ac:dyDescent="0.2">
      <c r="G889" s="54"/>
      <c r="H889" s="54"/>
      <c r="I889" s="54"/>
      <c r="J889" s="54"/>
    </row>
    <row r="890" spans="7:10" ht="15.75" customHeight="1" x14ac:dyDescent="0.2">
      <c r="G890" s="54"/>
      <c r="H890" s="54"/>
      <c r="I890" s="54"/>
      <c r="J890" s="54"/>
    </row>
    <row r="891" spans="7:10" ht="15.75" customHeight="1" x14ac:dyDescent="0.2">
      <c r="G891" s="54"/>
      <c r="H891" s="54"/>
      <c r="I891" s="54"/>
      <c r="J891" s="54"/>
    </row>
    <row r="892" spans="7:10" ht="15.75" customHeight="1" x14ac:dyDescent="0.2">
      <c r="G892" s="54"/>
      <c r="H892" s="54"/>
      <c r="I892" s="54"/>
      <c r="J892" s="54"/>
    </row>
    <row r="893" spans="7:10" ht="15.75" customHeight="1" x14ac:dyDescent="0.2">
      <c r="G893" s="54"/>
      <c r="H893" s="54"/>
      <c r="I893" s="54"/>
      <c r="J893" s="54"/>
    </row>
    <row r="894" spans="7:10" ht="15.75" customHeight="1" x14ac:dyDescent="0.2">
      <c r="G894" s="54"/>
      <c r="H894" s="54"/>
      <c r="I894" s="54"/>
      <c r="J894" s="54"/>
    </row>
    <row r="895" spans="7:10" ht="15.75" customHeight="1" x14ac:dyDescent="0.2">
      <c r="G895" s="54"/>
      <c r="H895" s="54"/>
      <c r="I895" s="54"/>
      <c r="J895" s="54"/>
    </row>
    <row r="896" spans="7:10" ht="15.75" customHeight="1" x14ac:dyDescent="0.2">
      <c r="G896" s="54"/>
      <c r="H896" s="54"/>
      <c r="I896" s="54"/>
      <c r="J896" s="54"/>
    </row>
    <row r="897" spans="7:10" ht="15.75" customHeight="1" x14ac:dyDescent="0.2">
      <c r="G897" s="54"/>
      <c r="H897" s="54"/>
      <c r="I897" s="54"/>
      <c r="J897" s="54"/>
    </row>
    <row r="898" spans="7:10" ht="15.75" customHeight="1" x14ac:dyDescent="0.2">
      <c r="G898" s="54"/>
      <c r="H898" s="54"/>
      <c r="I898" s="54"/>
      <c r="J898" s="54"/>
    </row>
    <row r="899" spans="7:10" ht="15.75" customHeight="1" x14ac:dyDescent="0.2">
      <c r="G899" s="54"/>
      <c r="H899" s="54"/>
      <c r="I899" s="54"/>
      <c r="J899" s="54"/>
    </row>
    <row r="900" spans="7:10" ht="15.75" customHeight="1" x14ac:dyDescent="0.2">
      <c r="G900" s="54"/>
      <c r="H900" s="54"/>
      <c r="I900" s="54"/>
      <c r="J900" s="54"/>
    </row>
    <row r="901" spans="7:10" ht="15.75" customHeight="1" x14ac:dyDescent="0.2">
      <c r="G901" s="54"/>
      <c r="H901" s="54"/>
      <c r="I901" s="54"/>
      <c r="J901" s="54"/>
    </row>
    <row r="902" spans="7:10" ht="15.75" customHeight="1" x14ac:dyDescent="0.2">
      <c r="G902" s="54"/>
      <c r="H902" s="54"/>
      <c r="I902" s="54"/>
      <c r="J902" s="54"/>
    </row>
    <row r="903" spans="7:10" ht="15.75" customHeight="1" x14ac:dyDescent="0.2">
      <c r="G903" s="54"/>
      <c r="H903" s="54"/>
      <c r="I903" s="54"/>
      <c r="J903" s="54"/>
    </row>
    <row r="904" spans="7:10" ht="15.75" customHeight="1" x14ac:dyDescent="0.2">
      <c r="G904" s="54"/>
      <c r="H904" s="54"/>
      <c r="I904" s="54"/>
      <c r="J904" s="54"/>
    </row>
    <row r="905" spans="7:10" ht="15.75" customHeight="1" x14ac:dyDescent="0.2">
      <c r="G905" s="54"/>
      <c r="H905" s="54"/>
      <c r="I905" s="54"/>
      <c r="J905" s="54"/>
    </row>
    <row r="906" spans="7:10" ht="15.75" customHeight="1" x14ac:dyDescent="0.2">
      <c r="G906" s="54"/>
      <c r="H906" s="54"/>
      <c r="I906" s="54"/>
      <c r="J906" s="54"/>
    </row>
    <row r="907" spans="7:10" ht="15.75" customHeight="1" x14ac:dyDescent="0.2">
      <c r="G907" s="54"/>
      <c r="H907" s="54"/>
      <c r="I907" s="54"/>
      <c r="J907" s="54"/>
    </row>
    <row r="908" spans="7:10" ht="15.75" customHeight="1" x14ac:dyDescent="0.2">
      <c r="G908" s="54"/>
      <c r="H908" s="54"/>
      <c r="I908" s="54"/>
      <c r="J908" s="54"/>
    </row>
    <row r="909" spans="7:10" ht="15.75" customHeight="1" x14ac:dyDescent="0.2">
      <c r="G909" s="54"/>
      <c r="H909" s="54"/>
      <c r="I909" s="54"/>
      <c r="J909" s="54"/>
    </row>
    <row r="910" spans="7:10" ht="15.75" customHeight="1" x14ac:dyDescent="0.2">
      <c r="G910" s="54"/>
      <c r="H910" s="54"/>
      <c r="I910" s="54"/>
      <c r="J910" s="54"/>
    </row>
    <row r="911" spans="7:10" ht="15.75" customHeight="1" x14ac:dyDescent="0.2">
      <c r="G911" s="54"/>
      <c r="H911" s="54"/>
      <c r="I911" s="54"/>
      <c r="J911" s="54"/>
    </row>
    <row r="912" spans="7:10" ht="15.75" customHeight="1" x14ac:dyDescent="0.2">
      <c r="G912" s="54"/>
      <c r="H912" s="54"/>
      <c r="I912" s="54"/>
      <c r="J912" s="54"/>
    </row>
    <row r="913" spans="7:10" ht="15.75" customHeight="1" x14ac:dyDescent="0.2">
      <c r="G913" s="54"/>
      <c r="H913" s="54"/>
      <c r="I913" s="54"/>
      <c r="J913" s="54"/>
    </row>
    <row r="914" spans="7:10" ht="15.75" customHeight="1" x14ac:dyDescent="0.2">
      <c r="G914" s="54"/>
      <c r="H914" s="54"/>
      <c r="I914" s="54"/>
      <c r="J914" s="54"/>
    </row>
    <row r="915" spans="7:10" ht="15.75" customHeight="1" x14ac:dyDescent="0.2">
      <c r="G915" s="54"/>
      <c r="H915" s="54"/>
      <c r="I915" s="54"/>
      <c r="J915" s="54"/>
    </row>
    <row r="916" spans="7:10" ht="15.75" customHeight="1" x14ac:dyDescent="0.2">
      <c r="G916" s="54"/>
      <c r="H916" s="54"/>
      <c r="I916" s="54"/>
      <c r="J916" s="54"/>
    </row>
    <row r="917" spans="7:10" ht="15.75" customHeight="1" x14ac:dyDescent="0.2">
      <c r="G917" s="54"/>
      <c r="H917" s="54"/>
      <c r="I917" s="54"/>
      <c r="J917" s="54"/>
    </row>
    <row r="918" spans="7:10" ht="15.75" customHeight="1" x14ac:dyDescent="0.2">
      <c r="G918" s="54"/>
      <c r="H918" s="54"/>
      <c r="I918" s="54"/>
      <c r="J918" s="54"/>
    </row>
    <row r="919" spans="7:10" ht="15.75" customHeight="1" x14ac:dyDescent="0.2">
      <c r="G919" s="54"/>
      <c r="H919" s="54"/>
      <c r="I919" s="54"/>
      <c r="J919" s="54"/>
    </row>
    <row r="920" spans="7:10" ht="15.75" customHeight="1" x14ac:dyDescent="0.2">
      <c r="G920" s="54"/>
      <c r="H920" s="54"/>
      <c r="I920" s="54"/>
      <c r="J920" s="54"/>
    </row>
    <row r="921" spans="7:10" ht="15.75" customHeight="1" x14ac:dyDescent="0.2">
      <c r="G921" s="54"/>
      <c r="H921" s="54"/>
      <c r="I921" s="54"/>
      <c r="J921" s="54"/>
    </row>
    <row r="922" spans="7:10" ht="15.75" customHeight="1" x14ac:dyDescent="0.2">
      <c r="G922" s="54"/>
      <c r="H922" s="54"/>
      <c r="I922" s="54"/>
      <c r="J922" s="54"/>
    </row>
    <row r="923" spans="7:10" ht="15.75" customHeight="1" x14ac:dyDescent="0.2">
      <c r="G923" s="54"/>
      <c r="H923" s="54"/>
      <c r="I923" s="54"/>
      <c r="J923" s="54"/>
    </row>
    <row r="924" spans="7:10" ht="15.75" customHeight="1" x14ac:dyDescent="0.2">
      <c r="G924" s="54"/>
      <c r="H924" s="54"/>
      <c r="I924" s="54"/>
      <c r="J924" s="54"/>
    </row>
    <row r="925" spans="7:10" ht="15.75" customHeight="1" x14ac:dyDescent="0.2">
      <c r="G925" s="54"/>
      <c r="H925" s="54"/>
      <c r="I925" s="54"/>
      <c r="J925" s="54"/>
    </row>
    <row r="926" spans="7:10" ht="15.75" customHeight="1" x14ac:dyDescent="0.2">
      <c r="G926" s="54"/>
      <c r="H926" s="54"/>
      <c r="I926" s="54"/>
      <c r="J926" s="54"/>
    </row>
    <row r="927" spans="7:10" ht="15.75" customHeight="1" x14ac:dyDescent="0.2">
      <c r="G927" s="54"/>
      <c r="H927" s="54"/>
      <c r="I927" s="54"/>
      <c r="J927" s="54"/>
    </row>
    <row r="928" spans="7:10" ht="15.75" customHeight="1" x14ac:dyDescent="0.2">
      <c r="G928" s="54"/>
      <c r="H928" s="54"/>
      <c r="I928" s="54"/>
      <c r="J928" s="54"/>
    </row>
    <row r="929" spans="7:10" ht="15.75" customHeight="1" x14ac:dyDescent="0.2">
      <c r="G929" s="54"/>
      <c r="H929" s="54"/>
      <c r="I929" s="54"/>
      <c r="J929" s="54"/>
    </row>
    <row r="930" spans="7:10" ht="15.75" customHeight="1" x14ac:dyDescent="0.2">
      <c r="G930" s="54"/>
      <c r="H930" s="54"/>
      <c r="I930" s="54"/>
      <c r="J930" s="54"/>
    </row>
    <row r="931" spans="7:10" ht="15.75" customHeight="1" x14ac:dyDescent="0.2">
      <c r="G931" s="54"/>
      <c r="H931" s="54"/>
      <c r="I931" s="54"/>
      <c r="J931" s="54"/>
    </row>
    <row r="932" spans="7:10" ht="15.75" customHeight="1" x14ac:dyDescent="0.2">
      <c r="G932" s="54"/>
      <c r="H932" s="54"/>
      <c r="I932" s="54"/>
      <c r="J932" s="54"/>
    </row>
    <row r="933" spans="7:10" ht="15.75" customHeight="1" x14ac:dyDescent="0.2">
      <c r="G933" s="54"/>
      <c r="H933" s="54"/>
      <c r="I933" s="54"/>
      <c r="J933" s="54"/>
    </row>
    <row r="934" spans="7:10" ht="15.75" customHeight="1" x14ac:dyDescent="0.2">
      <c r="G934" s="54"/>
      <c r="H934" s="54"/>
      <c r="I934" s="54"/>
      <c r="J934" s="54"/>
    </row>
    <row r="935" spans="7:10" ht="15.75" customHeight="1" x14ac:dyDescent="0.2">
      <c r="G935" s="54"/>
      <c r="H935" s="54"/>
      <c r="I935" s="54"/>
      <c r="J935" s="54"/>
    </row>
    <row r="936" spans="7:10" ht="15.75" customHeight="1" x14ac:dyDescent="0.2">
      <c r="G936" s="54"/>
      <c r="H936" s="54"/>
      <c r="I936" s="54"/>
      <c r="J936" s="54"/>
    </row>
    <row r="937" spans="7:10" ht="15.75" customHeight="1" x14ac:dyDescent="0.2">
      <c r="G937" s="54"/>
      <c r="H937" s="54"/>
      <c r="I937" s="54"/>
      <c r="J937" s="54"/>
    </row>
    <row r="938" spans="7:10" ht="15.75" customHeight="1" x14ac:dyDescent="0.2">
      <c r="G938" s="54"/>
      <c r="H938" s="54"/>
      <c r="I938" s="54"/>
      <c r="J938" s="54"/>
    </row>
    <row r="939" spans="7:10" ht="15.75" customHeight="1" x14ac:dyDescent="0.2">
      <c r="G939" s="54"/>
      <c r="H939" s="54"/>
      <c r="I939" s="54"/>
      <c r="J939" s="54"/>
    </row>
    <row r="940" spans="7:10" ht="15.75" customHeight="1" x14ac:dyDescent="0.2">
      <c r="G940" s="54"/>
      <c r="H940" s="54"/>
      <c r="I940" s="54"/>
      <c r="J940" s="54"/>
    </row>
    <row r="941" spans="7:10" ht="15.75" customHeight="1" x14ac:dyDescent="0.2">
      <c r="G941" s="54"/>
      <c r="H941" s="54"/>
      <c r="I941" s="54"/>
      <c r="J941" s="54"/>
    </row>
    <row r="942" spans="7:10" ht="15.75" customHeight="1" x14ac:dyDescent="0.2">
      <c r="G942" s="54"/>
      <c r="H942" s="54"/>
      <c r="I942" s="54"/>
      <c r="J942" s="54"/>
    </row>
    <row r="943" spans="7:10" ht="15.75" customHeight="1" x14ac:dyDescent="0.2">
      <c r="G943" s="54"/>
      <c r="H943" s="54"/>
      <c r="I943" s="54"/>
      <c r="J943" s="54"/>
    </row>
    <row r="944" spans="7:10" ht="15.75" customHeight="1" x14ac:dyDescent="0.2">
      <c r="G944" s="54"/>
      <c r="H944" s="54"/>
      <c r="I944" s="54"/>
      <c r="J944" s="54"/>
    </row>
    <row r="945" spans="7:10" ht="15.75" customHeight="1" x14ac:dyDescent="0.2">
      <c r="G945" s="54"/>
      <c r="H945" s="54"/>
      <c r="I945" s="54"/>
      <c r="J945" s="54"/>
    </row>
    <row r="946" spans="7:10" ht="15.75" customHeight="1" x14ac:dyDescent="0.2">
      <c r="G946" s="54"/>
      <c r="H946" s="54"/>
      <c r="I946" s="54"/>
      <c r="J946" s="54"/>
    </row>
    <row r="947" spans="7:10" ht="15.75" customHeight="1" x14ac:dyDescent="0.2">
      <c r="G947" s="54"/>
      <c r="H947" s="54"/>
      <c r="I947" s="54"/>
      <c r="J947" s="54"/>
    </row>
    <row r="948" spans="7:10" ht="15.75" customHeight="1" x14ac:dyDescent="0.2">
      <c r="G948" s="54"/>
      <c r="H948" s="54"/>
      <c r="I948" s="54"/>
      <c r="J948" s="54"/>
    </row>
    <row r="949" spans="7:10" ht="15.75" customHeight="1" x14ac:dyDescent="0.2">
      <c r="G949" s="54"/>
      <c r="H949" s="54"/>
      <c r="I949" s="54"/>
      <c r="J949" s="54"/>
    </row>
    <row r="950" spans="7:10" ht="15.75" customHeight="1" x14ac:dyDescent="0.2">
      <c r="G950" s="54"/>
      <c r="H950" s="54"/>
      <c r="I950" s="54"/>
      <c r="J950" s="54"/>
    </row>
    <row r="951" spans="7:10" ht="15.75" customHeight="1" x14ac:dyDescent="0.2">
      <c r="G951" s="54"/>
      <c r="H951" s="54"/>
      <c r="I951" s="54"/>
      <c r="J951" s="54"/>
    </row>
    <row r="952" spans="7:10" ht="15.75" customHeight="1" x14ac:dyDescent="0.2">
      <c r="G952" s="54"/>
      <c r="H952" s="54"/>
      <c r="I952" s="54"/>
      <c r="J952" s="54"/>
    </row>
    <row r="953" spans="7:10" ht="15.75" customHeight="1" x14ac:dyDescent="0.2">
      <c r="G953" s="54"/>
      <c r="H953" s="54"/>
      <c r="I953" s="54"/>
      <c r="J953" s="54"/>
    </row>
    <row r="954" spans="7:10" ht="15.75" customHeight="1" x14ac:dyDescent="0.2">
      <c r="G954" s="54"/>
      <c r="H954" s="54"/>
      <c r="I954" s="54"/>
      <c r="J954" s="54"/>
    </row>
    <row r="955" spans="7:10" ht="15.75" customHeight="1" x14ac:dyDescent="0.2">
      <c r="G955" s="54"/>
      <c r="H955" s="54"/>
      <c r="I955" s="54"/>
      <c r="J955" s="54"/>
    </row>
    <row r="956" spans="7:10" ht="15.75" customHeight="1" x14ac:dyDescent="0.2">
      <c r="G956" s="54"/>
      <c r="H956" s="54"/>
      <c r="I956" s="54"/>
      <c r="J956" s="54"/>
    </row>
    <row r="957" spans="7:10" ht="15.75" customHeight="1" x14ac:dyDescent="0.2">
      <c r="G957" s="54"/>
      <c r="H957" s="54"/>
      <c r="I957" s="54"/>
      <c r="J957" s="54"/>
    </row>
    <row r="958" spans="7:10" ht="15.75" customHeight="1" x14ac:dyDescent="0.2">
      <c r="G958" s="54"/>
      <c r="H958" s="54"/>
      <c r="I958" s="54"/>
      <c r="J958" s="54"/>
    </row>
    <row r="959" spans="7:10" ht="15.75" customHeight="1" x14ac:dyDescent="0.2">
      <c r="G959" s="54"/>
      <c r="H959" s="54"/>
      <c r="I959" s="54"/>
      <c r="J959" s="54"/>
    </row>
    <row r="960" spans="7:10" ht="15.75" customHeight="1" x14ac:dyDescent="0.2">
      <c r="G960" s="54"/>
      <c r="H960" s="54"/>
      <c r="I960" s="54"/>
      <c r="J960" s="54"/>
    </row>
    <row r="961" spans="7:10" ht="15.75" customHeight="1" x14ac:dyDescent="0.2">
      <c r="G961" s="54"/>
      <c r="H961" s="54"/>
      <c r="I961" s="54"/>
      <c r="J961" s="54"/>
    </row>
    <row r="962" spans="7:10" ht="15.75" customHeight="1" x14ac:dyDescent="0.2">
      <c r="G962" s="54"/>
      <c r="H962" s="54"/>
      <c r="I962" s="54"/>
      <c r="J962" s="54"/>
    </row>
    <row r="963" spans="7:10" ht="15.75" customHeight="1" x14ac:dyDescent="0.2">
      <c r="G963" s="54"/>
      <c r="H963" s="54"/>
      <c r="I963" s="54"/>
      <c r="J963" s="54"/>
    </row>
    <row r="964" spans="7:10" ht="15.75" customHeight="1" x14ac:dyDescent="0.2">
      <c r="G964" s="54"/>
      <c r="H964" s="54"/>
      <c r="I964" s="54"/>
      <c r="J964" s="54"/>
    </row>
    <row r="965" spans="7:10" ht="15.75" customHeight="1" x14ac:dyDescent="0.2">
      <c r="G965" s="54"/>
      <c r="H965" s="54"/>
      <c r="I965" s="54"/>
      <c r="J965" s="54"/>
    </row>
    <row r="966" spans="7:10" ht="15.75" customHeight="1" x14ac:dyDescent="0.2">
      <c r="G966" s="54"/>
      <c r="H966" s="54"/>
      <c r="I966" s="54"/>
      <c r="J966" s="54"/>
    </row>
    <row r="967" spans="7:10" ht="15.75" customHeight="1" x14ac:dyDescent="0.2">
      <c r="G967" s="54"/>
      <c r="H967" s="54"/>
      <c r="I967" s="54"/>
      <c r="J967" s="54"/>
    </row>
    <row r="968" spans="7:10" ht="15.75" customHeight="1" x14ac:dyDescent="0.2">
      <c r="G968" s="54"/>
      <c r="H968" s="54"/>
      <c r="I968" s="54"/>
      <c r="J968" s="54"/>
    </row>
    <row r="969" spans="7:10" ht="15.75" customHeight="1" x14ac:dyDescent="0.2">
      <c r="G969" s="54"/>
      <c r="H969" s="54"/>
      <c r="I969" s="54"/>
      <c r="J969" s="54"/>
    </row>
    <row r="970" spans="7:10" ht="15.75" customHeight="1" x14ac:dyDescent="0.2">
      <c r="G970" s="54"/>
      <c r="H970" s="54"/>
      <c r="I970" s="54"/>
      <c r="J970" s="54"/>
    </row>
    <row r="971" spans="7:10" ht="15.75" customHeight="1" x14ac:dyDescent="0.2">
      <c r="G971" s="54"/>
      <c r="H971" s="54"/>
      <c r="I971" s="54"/>
      <c r="J971" s="54"/>
    </row>
    <row r="972" spans="7:10" ht="15.75" customHeight="1" x14ac:dyDescent="0.2">
      <c r="G972" s="54"/>
      <c r="H972" s="54"/>
      <c r="I972" s="54"/>
      <c r="J972" s="54"/>
    </row>
    <row r="973" spans="7:10" ht="15.75" customHeight="1" x14ac:dyDescent="0.2">
      <c r="G973" s="54"/>
      <c r="H973" s="54"/>
      <c r="I973" s="54"/>
      <c r="J973" s="54"/>
    </row>
    <row r="974" spans="7:10" ht="15.75" customHeight="1" x14ac:dyDescent="0.2">
      <c r="G974" s="54"/>
      <c r="H974" s="54"/>
      <c r="I974" s="54"/>
      <c r="J974" s="54"/>
    </row>
    <row r="975" spans="7:10" ht="15.75" customHeight="1" x14ac:dyDescent="0.2">
      <c r="G975" s="54"/>
      <c r="H975" s="54"/>
      <c r="I975" s="54"/>
      <c r="J975" s="54"/>
    </row>
    <row r="976" spans="7:10" ht="15.75" customHeight="1" x14ac:dyDescent="0.2">
      <c r="G976" s="54"/>
      <c r="H976" s="54"/>
      <c r="I976" s="54"/>
      <c r="J976" s="54"/>
    </row>
    <row r="977" spans="7:10" ht="15.75" customHeight="1" x14ac:dyDescent="0.2">
      <c r="G977" s="54"/>
      <c r="H977" s="54"/>
      <c r="I977" s="54"/>
      <c r="J977" s="54"/>
    </row>
    <row r="978" spans="7:10" ht="15.75" customHeight="1" x14ac:dyDescent="0.2">
      <c r="G978" s="54"/>
      <c r="H978" s="54"/>
      <c r="I978" s="54"/>
      <c r="J978" s="54"/>
    </row>
    <row r="979" spans="7:10" ht="15.75" customHeight="1" x14ac:dyDescent="0.2">
      <c r="G979" s="54"/>
      <c r="H979" s="54"/>
      <c r="I979" s="54"/>
      <c r="J979" s="54"/>
    </row>
    <row r="980" spans="7:10" ht="15.75" customHeight="1" x14ac:dyDescent="0.2">
      <c r="G980" s="54"/>
      <c r="H980" s="54"/>
      <c r="I980" s="54"/>
      <c r="J980" s="54"/>
    </row>
    <row r="981" spans="7:10" ht="15.75" customHeight="1" x14ac:dyDescent="0.2">
      <c r="G981" s="54"/>
      <c r="H981" s="54"/>
      <c r="I981" s="54"/>
      <c r="J981" s="54"/>
    </row>
    <row r="982" spans="7:10" ht="15.75" customHeight="1" x14ac:dyDescent="0.2">
      <c r="G982" s="54"/>
      <c r="H982" s="54"/>
      <c r="I982" s="54"/>
      <c r="J982" s="54"/>
    </row>
    <row r="983" spans="7:10" ht="15.75" customHeight="1" x14ac:dyDescent="0.2">
      <c r="G983" s="54"/>
      <c r="H983" s="54"/>
      <c r="I983" s="54"/>
      <c r="J983" s="54"/>
    </row>
    <row r="984" spans="7:10" ht="15.75" customHeight="1" x14ac:dyDescent="0.2">
      <c r="G984" s="54"/>
      <c r="H984" s="54"/>
      <c r="I984" s="54"/>
      <c r="J984" s="54"/>
    </row>
    <row r="985" spans="7:10" ht="15.75" customHeight="1" x14ac:dyDescent="0.2">
      <c r="G985" s="54"/>
      <c r="H985" s="54"/>
      <c r="I985" s="54"/>
      <c r="J985" s="54"/>
    </row>
    <row r="986" spans="7:10" ht="15.75" customHeight="1" x14ac:dyDescent="0.2">
      <c r="G986" s="54"/>
      <c r="H986" s="54"/>
      <c r="I986" s="54"/>
      <c r="J986" s="54"/>
    </row>
    <row r="987" spans="7:10" ht="15.75" customHeight="1" x14ac:dyDescent="0.2">
      <c r="G987" s="54"/>
      <c r="H987" s="54"/>
      <c r="I987" s="54"/>
      <c r="J987" s="54"/>
    </row>
    <row r="988" spans="7:10" ht="15.75" customHeight="1" x14ac:dyDescent="0.2">
      <c r="G988" s="54"/>
      <c r="H988" s="54"/>
      <c r="I988" s="54"/>
      <c r="J988" s="54"/>
    </row>
    <row r="989" spans="7:10" ht="15.75" customHeight="1" x14ac:dyDescent="0.2">
      <c r="G989" s="54"/>
      <c r="H989" s="54"/>
      <c r="I989" s="54"/>
      <c r="J989" s="54"/>
    </row>
    <row r="990" spans="7:10" ht="15.75" customHeight="1" x14ac:dyDescent="0.2">
      <c r="G990" s="54"/>
      <c r="H990" s="54"/>
      <c r="I990" s="54"/>
      <c r="J990" s="54"/>
    </row>
    <row r="991" spans="7:10" ht="15.75" customHeight="1" x14ac:dyDescent="0.2">
      <c r="G991" s="54"/>
      <c r="H991" s="54"/>
      <c r="I991" s="54"/>
      <c r="J991" s="54"/>
    </row>
    <row r="992" spans="7:10" ht="15.75" customHeight="1" x14ac:dyDescent="0.2">
      <c r="G992" s="54"/>
      <c r="H992" s="54"/>
      <c r="I992" s="54"/>
      <c r="J992" s="54"/>
    </row>
    <row r="993" spans="7:10" ht="15.75" customHeight="1" x14ac:dyDescent="0.2">
      <c r="G993" s="54"/>
      <c r="H993" s="54"/>
      <c r="I993" s="54"/>
      <c r="J993" s="54"/>
    </row>
    <row r="994" spans="7:10" ht="15.75" customHeight="1" x14ac:dyDescent="0.2">
      <c r="G994" s="54"/>
      <c r="H994" s="54"/>
      <c r="I994" s="54"/>
      <c r="J994" s="54"/>
    </row>
    <row r="995" spans="7:10" ht="15.75" customHeight="1" x14ac:dyDescent="0.2">
      <c r="G995" s="54"/>
      <c r="H995" s="54"/>
      <c r="I995" s="54"/>
      <c r="J995" s="54"/>
    </row>
    <row r="996" spans="7:10" ht="15.75" customHeight="1" x14ac:dyDescent="0.2">
      <c r="G996" s="54"/>
      <c r="H996" s="54"/>
      <c r="I996" s="54"/>
      <c r="J996" s="54"/>
    </row>
    <row r="997" spans="7:10" ht="15.75" customHeight="1" x14ac:dyDescent="0.2">
      <c r="G997" s="54"/>
      <c r="H997" s="54"/>
      <c r="I997" s="54"/>
      <c r="J997" s="54"/>
    </row>
    <row r="998" spans="7:10" ht="15.75" customHeight="1" x14ac:dyDescent="0.2">
      <c r="G998" s="54"/>
      <c r="H998" s="54"/>
      <c r="I998" s="54"/>
      <c r="J998" s="54"/>
    </row>
    <row r="999" spans="7:10" ht="15.75" customHeight="1" x14ac:dyDescent="0.2">
      <c r="G999" s="54"/>
      <c r="H999" s="54"/>
      <c r="I999" s="54"/>
      <c r="J999" s="54"/>
    </row>
    <row r="1000" spans="7:10" ht="15.75" customHeight="1" x14ac:dyDescent="0.2">
      <c r="G1000" s="54"/>
      <c r="H1000" s="54"/>
      <c r="I1000" s="54"/>
      <c r="J1000" s="54"/>
    </row>
  </sheetData>
  <autoFilter ref="A3:I3" xr:uid="{00000000-0009-0000-0000-000002000000}"/>
  <dataValidations count="1">
    <dataValidation type="list" allowBlank="1" showErrorMessage="1" sqref="I4:I92" xr:uid="{00000000-0002-0000-0200-000001000000}">
      <formula1>"Market Price,PPA,Public Utility"</formula1>
    </dataValidation>
  </dataValidations>
  <pageMargins left="0.7" right="0.7" top="0.75" bottom="0.75" header="0" footer="0"/>
  <pageSetup orientation="portrait"/>
  <legacyDrawing r:id="rId1"/>
  <extLst>
    <ext xmlns:x14="http://schemas.microsoft.com/office/spreadsheetml/2009/9/main" uri="{CCE6A557-97BC-4b89-ADB6-D9C93CAAB3DF}">
      <x14:dataValidations xmlns:xm="http://schemas.microsoft.com/office/excel/2006/main" count="1">
        <x14:dataValidation type="list" allowBlank="1" showErrorMessage="1" xr:uid="{00000000-0002-0000-0200-000000000000}">
          <x14:formula1>
            <xm:f>Definitions!$H$25:$H$31</xm:f>
          </x14:formula1>
          <xm:sqref>H4:H92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Y996"/>
  <sheetViews>
    <sheetView showGridLines="0" workbookViewId="0"/>
  </sheetViews>
  <sheetFormatPr baseColWidth="10" defaultColWidth="14.5" defaultRowHeight="15" customHeight="1" x14ac:dyDescent="0.2"/>
  <cols>
    <col min="1" max="1" width="33.5" customWidth="1"/>
    <col min="2" max="2" width="9.83203125" customWidth="1"/>
    <col min="3" max="51" width="8.83203125" customWidth="1"/>
  </cols>
  <sheetData>
    <row r="1" spans="1:51" ht="47" x14ac:dyDescent="0.55000000000000004">
      <c r="A1" s="44" t="s">
        <v>0</v>
      </c>
      <c r="B1" s="45"/>
      <c r="C1" s="45"/>
      <c r="D1" s="45"/>
      <c r="E1" s="45"/>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row>
    <row r="2" spans="1:51" ht="26" x14ac:dyDescent="0.3">
      <c r="A2" s="46" t="s">
        <v>97</v>
      </c>
      <c r="B2" s="45"/>
      <c r="C2" s="45"/>
      <c r="D2" s="45"/>
      <c r="E2" s="45"/>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row>
    <row r="3" spans="1:51" ht="16" x14ac:dyDescent="0.2">
      <c r="A3" s="63" t="s">
        <v>71</v>
      </c>
      <c r="B3" s="64">
        <f>Definitions!I33</f>
        <v>45658</v>
      </c>
      <c r="C3" s="64">
        <f>IFERROR(IF(EDATE(B3,12)&lt;(Definitions!$I$34+1),EDATE(B3,12),""),"")</f>
        <v>46023</v>
      </c>
      <c r="D3" s="64">
        <f>IFERROR(IF(EDATE(C3,12)&lt;(Definitions!$I$34+1),EDATE(C3,12),""),"")</f>
        <v>46388</v>
      </c>
      <c r="E3" s="64">
        <f>IFERROR(IF(EDATE(D3,12)&lt;(Definitions!$I$34+1),EDATE(D3,12),""),"")</f>
        <v>46753</v>
      </c>
      <c r="F3" s="64">
        <f>IFERROR(IF(EDATE(E3,12)&lt;(Definitions!$I$34+1),EDATE(E3,12),""),"")</f>
        <v>47119</v>
      </c>
      <c r="G3" s="64">
        <f>IFERROR(IF(EDATE(F3,12)&lt;(Definitions!$I$34+1),EDATE(F3,12),""),"")</f>
        <v>47484</v>
      </c>
      <c r="H3" s="64">
        <f>IFERROR(IF(EDATE(G3,12)&lt;(Definitions!$I$34+1),EDATE(G3,12),""),"")</f>
        <v>47849</v>
      </c>
      <c r="I3" s="64">
        <f>IFERROR(IF(EDATE(H3,12)&lt;(Definitions!$I$34+1),EDATE(H3,12),""),"")</f>
        <v>48214</v>
      </c>
      <c r="J3" s="64">
        <f>IFERROR(IF(EDATE(I3,12)&lt;(Definitions!$I$34+1),EDATE(I3,12),""),"")</f>
        <v>48580</v>
      </c>
      <c r="K3" s="64">
        <f>IFERROR(IF(EDATE(J3,12)&lt;(Definitions!$I$34+1),EDATE(J3,12),""),"")</f>
        <v>48945</v>
      </c>
      <c r="L3" s="64">
        <f>IFERROR(IF(EDATE(K3,12)&lt;(Definitions!$I$34+1),EDATE(K3,12),""),"")</f>
        <v>49310</v>
      </c>
      <c r="M3" s="64">
        <f>IFERROR(IF(EDATE(L3,12)&lt;(Definitions!$I$34+1),EDATE(L3,12),""),"")</f>
        <v>49675</v>
      </c>
      <c r="N3" s="64">
        <f>IFERROR(IF(EDATE(M3,12)&lt;(Definitions!$I$34+1),EDATE(M3,12),""),"")</f>
        <v>50041</v>
      </c>
      <c r="O3" s="64">
        <f>IFERROR(IF(EDATE(N3,12)&lt;(Definitions!$I$34+1),EDATE(N3,12),""),"")</f>
        <v>50406</v>
      </c>
      <c r="P3" s="64">
        <f>IFERROR(IF(EDATE(O3,12)&lt;(Definitions!$I$34+1),EDATE(O3,12),""),"")</f>
        <v>50771</v>
      </c>
      <c r="Q3" s="64">
        <f>IFERROR(IF(EDATE(P3,12)&lt;(Definitions!$I$34+1),EDATE(P3,12),""),"")</f>
        <v>51136</v>
      </c>
      <c r="R3" s="64">
        <f>IFERROR(IF(EDATE(Q3,12)&lt;(Definitions!$I$34+1),EDATE(Q3,12),""),"")</f>
        <v>51502</v>
      </c>
      <c r="S3" s="64">
        <f>IFERROR(IF(EDATE(R3,12)&lt;(Definitions!$I$34+1),EDATE(R3,12),""),"")</f>
        <v>51867</v>
      </c>
      <c r="T3" s="64">
        <f>IFERROR(IF(EDATE(S3,12)&lt;(Definitions!$I$34+1),EDATE(S3,12),""),"")</f>
        <v>52232</v>
      </c>
      <c r="U3" s="64">
        <f>IFERROR(IF(EDATE(T3,12)&lt;(Definitions!$I$34+1),EDATE(T3,12),""),"")</f>
        <v>52597</v>
      </c>
      <c r="V3" s="64">
        <f>IFERROR(IF(EDATE(U3,12)&lt;(Definitions!$I$34+1),EDATE(U3,12),""),"")</f>
        <v>52963</v>
      </c>
      <c r="W3" s="64">
        <f>IFERROR(IF(EDATE(V3,12)&lt;(Definitions!$I$34+1),EDATE(V3,12),""),"")</f>
        <v>53328</v>
      </c>
      <c r="X3" s="64">
        <f>IFERROR(IF(EDATE(W3,12)&lt;(Definitions!$I$34+1),EDATE(W3,12),""),"")</f>
        <v>53693</v>
      </c>
      <c r="Y3" s="64">
        <f>IFERROR(IF(EDATE(X3,12)&lt;(Definitions!$I$34+1),EDATE(X3,12),""),"")</f>
        <v>54058</v>
      </c>
      <c r="Z3" s="64">
        <f>IFERROR(IF(EDATE(Y3,12)&lt;(Definitions!$I$34+1),EDATE(Y3,12),""),"")</f>
        <v>54424</v>
      </c>
      <c r="AA3" s="64">
        <f>IFERROR(IF(EDATE(Z3,12)&lt;(Definitions!$I$34+1),EDATE(Z3,12),""),"")</f>
        <v>54789</v>
      </c>
      <c r="AB3" s="64">
        <f>IFERROR(IF(EDATE(AA3,12)&lt;(Definitions!$I$34+1),EDATE(AA3,12),""),"")</f>
        <v>55154</v>
      </c>
      <c r="AC3" s="64">
        <f>IFERROR(IF(EDATE(AB3,12)&lt;(Definitions!$I$34+1),EDATE(AB3,12),""),"")</f>
        <v>55519</v>
      </c>
      <c r="AD3" s="64">
        <f>IFERROR(IF(EDATE(AC3,12)&lt;(Definitions!$I$34+1),EDATE(AC3,12),""),"")</f>
        <v>55885</v>
      </c>
      <c r="AE3" s="64">
        <f>IFERROR(IF(EDATE(AD3,12)&lt;(Definitions!$I$34+1),EDATE(AD3,12),""),"")</f>
        <v>56250</v>
      </c>
      <c r="AF3" s="64">
        <f>IFERROR(IF(EDATE(AE3,12)&lt;(Definitions!$I$34+1),EDATE(AE3,12),""),"")</f>
        <v>56615</v>
      </c>
      <c r="AG3" s="64">
        <f>IFERROR(IF(EDATE(AF3,12)&lt;(Definitions!$I$34+1),EDATE(AF3,12),""),"")</f>
        <v>56980</v>
      </c>
      <c r="AH3" s="64">
        <f>IFERROR(IF(EDATE(AG3,12)&lt;(Definitions!$I$34+1),EDATE(AG3,12),""),"")</f>
        <v>57346</v>
      </c>
      <c r="AI3" s="64">
        <f>IFERROR(IF(EDATE(AH3,12)&lt;(Definitions!$I$34+1),EDATE(AH3,12),""),"")</f>
        <v>57711</v>
      </c>
      <c r="AJ3" s="64">
        <f>IFERROR(IF(EDATE(AI3,12)&lt;(Definitions!$I$34+1),EDATE(AI3,12),""),"")</f>
        <v>58076</v>
      </c>
      <c r="AK3" s="64">
        <f>IFERROR(IF(EDATE(AJ3,12)&lt;(Definitions!$I$34+1),EDATE(AJ3,12),""),"")</f>
        <v>58441</v>
      </c>
      <c r="AL3" s="64">
        <f>IFERROR(IF(EDATE(AK3,12)&lt;(Definitions!$I$34+1),EDATE(AK3,12),""),"")</f>
        <v>58807</v>
      </c>
      <c r="AM3" s="64">
        <f>IFERROR(IF(EDATE(AL3,12)&lt;(Definitions!$I$34+1),EDATE(AL3,12),""),"")</f>
        <v>59172</v>
      </c>
      <c r="AN3" s="64">
        <f>IFERROR(IF(EDATE(AM3,12)&lt;(Definitions!$I$34+1),EDATE(AM3,12),""),"")</f>
        <v>59537</v>
      </c>
      <c r="AO3" s="64">
        <f>IFERROR(IF(EDATE(AN3,12)&lt;(Definitions!$I$34+1),EDATE(AN3,12),""),"")</f>
        <v>59902</v>
      </c>
      <c r="AP3" s="64">
        <f>IFERROR(IF(EDATE(AO3,12)&lt;(Definitions!$I$34+1),EDATE(AO3,12),""),"")</f>
        <v>60268</v>
      </c>
      <c r="AQ3" s="64">
        <f>IFERROR(IF(EDATE(AP3,12)&lt;(Definitions!$I$34+1),EDATE(AP3,12),""),"")</f>
        <v>60633</v>
      </c>
      <c r="AR3" s="64">
        <f>IFERROR(IF(EDATE(AQ3,12)&lt;(Definitions!$I$34+1),EDATE(AQ3,12),""),"")</f>
        <v>60998</v>
      </c>
      <c r="AS3" s="64">
        <f>IFERROR(IF(EDATE(AR3,12)&lt;(Definitions!$I$34+1),EDATE(AR3,12),""),"")</f>
        <v>61363</v>
      </c>
      <c r="AT3" s="64">
        <f>IFERROR(IF(EDATE(AS3,12)&lt;(Definitions!$I$34+1),EDATE(AS3,12),""),"")</f>
        <v>61729</v>
      </c>
      <c r="AU3" s="64">
        <f>IFERROR(IF(EDATE(AT3,12)&lt;(Definitions!$I$34+1),EDATE(AT3,12),""),"")</f>
        <v>62094</v>
      </c>
      <c r="AV3" s="64" t="str">
        <f>IFERROR(IF(EDATE(AU3,12)&lt;(Definitions!$I$34+1),EDATE(AU3,12),""),"")</f>
        <v/>
      </c>
      <c r="AW3" s="64"/>
      <c r="AX3" s="64"/>
      <c r="AY3" s="64"/>
    </row>
    <row r="4" spans="1:51" x14ac:dyDescent="0.2">
      <c r="A4" s="49" t="str">
        <f>IF('Plant Data'!A4="","",'Plant Data'!A4)</f>
        <v>Balingasag power stationUnit 1</v>
      </c>
      <c r="B4" s="65">
        <f>('Plant Data'!$C4*0.85*8760)</f>
        <v>58927.644</v>
      </c>
      <c r="C4" s="65">
        <f>('Plant Data'!$C4*0.85*8760)</f>
        <v>58927.644</v>
      </c>
      <c r="D4" s="65">
        <f>('Plant Data'!$C4*0.85*8760)</f>
        <v>58927.644</v>
      </c>
      <c r="E4" s="65">
        <f>('Plant Data'!$C4*0.85*8760)</f>
        <v>58927.644</v>
      </c>
      <c r="F4" s="65">
        <f>('Plant Data'!$C4*0.85*8760)</f>
        <v>58927.644</v>
      </c>
      <c r="G4" s="65">
        <f>('Plant Data'!$C4*0.85*8760)</f>
        <v>58927.644</v>
      </c>
      <c r="H4" s="65">
        <f>('Plant Data'!$C4*0.85*8760)</f>
        <v>58927.644</v>
      </c>
      <c r="I4" s="65">
        <f>('Plant Data'!$C4*0.85*8760)</f>
        <v>58927.644</v>
      </c>
      <c r="J4" s="65">
        <f>('Plant Data'!$C4*0.85*8760)</f>
        <v>58927.644</v>
      </c>
      <c r="K4" s="65">
        <f>('Plant Data'!$C4*0.85*8760)</f>
        <v>58927.644</v>
      </c>
      <c r="L4" s="65">
        <f>('Plant Data'!$C4*0.85*8760)</f>
        <v>58927.644</v>
      </c>
      <c r="M4" s="65">
        <f>('Plant Data'!$C4*0.85*8760)</f>
        <v>58927.644</v>
      </c>
      <c r="N4" s="65">
        <f>('Plant Data'!$C4*0.85*8760)</f>
        <v>58927.644</v>
      </c>
      <c r="O4" s="65">
        <f>('Plant Data'!$C4*0.85*8760)</f>
        <v>58927.644</v>
      </c>
      <c r="P4" s="65">
        <f>('Plant Data'!$C4*0.85*8760)</f>
        <v>58927.644</v>
      </c>
      <c r="Q4" s="65">
        <f>('Plant Data'!$C4*0.85*8760)</f>
        <v>58927.644</v>
      </c>
      <c r="R4" s="65">
        <f>('Plant Data'!$C4*0.85*8760)</f>
        <v>58927.644</v>
      </c>
      <c r="S4" s="65">
        <f>('Plant Data'!$C4*0.85*8760)</f>
        <v>58927.644</v>
      </c>
      <c r="T4" s="65">
        <f>('Plant Data'!$C4*0.85*8760)</f>
        <v>58927.644</v>
      </c>
      <c r="U4" s="65">
        <f>('Plant Data'!$C4*0.85*8760)</f>
        <v>58927.644</v>
      </c>
      <c r="V4" s="65">
        <f>('Plant Data'!$C4*0.85*8760)</f>
        <v>58927.644</v>
      </c>
      <c r="W4" s="65">
        <f>('Plant Data'!$C4*0.85*8760)</f>
        <v>58927.644</v>
      </c>
      <c r="X4" s="65">
        <f>('Plant Data'!$C4*0.85*8760)</f>
        <v>58927.644</v>
      </c>
      <c r="Y4" s="65">
        <f>('Plant Data'!$C4*0.85*8760)</f>
        <v>58927.644</v>
      </c>
      <c r="Z4" s="65">
        <f>('Plant Data'!$C4*0.85*8760)</f>
        <v>58927.644</v>
      </c>
      <c r="AA4" s="65">
        <f>('Plant Data'!$C4*0.85*8760)</f>
        <v>58927.644</v>
      </c>
      <c r="AB4" s="65">
        <f>('Plant Data'!$C4*0.85*8760)</f>
        <v>58927.644</v>
      </c>
      <c r="AC4" s="65">
        <f>('Plant Data'!$C4*0.85*8760)</f>
        <v>58927.644</v>
      </c>
      <c r="AD4" s="65">
        <f>('Plant Data'!$C4*0.85*8760)</f>
        <v>58927.644</v>
      </c>
      <c r="AE4" s="65">
        <f>('Plant Data'!$C4*0.85*8760)</f>
        <v>58927.644</v>
      </c>
      <c r="AF4" s="65">
        <f>('Plant Data'!$C4*0.85*8760)</f>
        <v>58927.644</v>
      </c>
      <c r="AG4" s="65">
        <f>('Plant Data'!$C4*0.85*8760)</f>
        <v>58927.644</v>
      </c>
      <c r="AH4" s="65">
        <f>('Plant Data'!$C4*0.85*8760)</f>
        <v>58927.644</v>
      </c>
      <c r="AI4" s="65">
        <f>('Plant Data'!$C4*0.85*8760)</f>
        <v>58927.644</v>
      </c>
      <c r="AJ4" s="65">
        <f>('Plant Data'!$C4*0.85*8760)</f>
        <v>58927.644</v>
      </c>
      <c r="AK4" s="65">
        <f>('Plant Data'!$C4*0.85*8760)</f>
        <v>58927.644</v>
      </c>
      <c r="AL4" s="65">
        <f>('Plant Data'!$C4*0.85*8760)</f>
        <v>58927.644</v>
      </c>
      <c r="AM4" s="65">
        <f>('Plant Data'!$C4*0.85*8760)</f>
        <v>58927.644</v>
      </c>
      <c r="AN4" s="65">
        <f>('Plant Data'!$C4*0.85*8760)</f>
        <v>58927.644</v>
      </c>
      <c r="AO4" s="65">
        <f>('Plant Data'!$C4*0.85*8760)</f>
        <v>58927.644</v>
      </c>
      <c r="AP4" s="65">
        <f>('Plant Data'!$C4*0.85*8760)</f>
        <v>58927.644</v>
      </c>
      <c r="AQ4" s="65">
        <f>('Plant Data'!$C4*0.85*8760)</f>
        <v>58927.644</v>
      </c>
      <c r="AR4" s="65">
        <f>('Plant Data'!$C4*0.85*8760)</f>
        <v>58927.644</v>
      </c>
      <c r="AS4" s="65">
        <f>('Plant Data'!$C4*0.85*8760)</f>
        <v>58927.644</v>
      </c>
      <c r="AT4" s="65">
        <f>('Plant Data'!$C4*0.85*8760)</f>
        <v>58927.644</v>
      </c>
      <c r="AU4" s="65">
        <f>('Plant Data'!$C4*0.85*8760)</f>
        <v>58927.644</v>
      </c>
    </row>
    <row r="5" spans="1:51" x14ac:dyDescent="0.2">
      <c r="A5" s="49" t="str">
        <f>IF('Plant Data'!A5="","",'Plant Data'!A5)</f>
        <v>Balingasag power stationUnit 2</v>
      </c>
      <c r="B5" s="65">
        <f>('Plant Data'!C5*0.85*8760)</f>
        <v>58927.644</v>
      </c>
      <c r="C5" s="65">
        <f>('Plant Data'!$C5*0.85*8760)</f>
        <v>58927.644</v>
      </c>
      <c r="D5" s="65">
        <f>('Plant Data'!$C5*0.85*8760)</f>
        <v>58927.644</v>
      </c>
      <c r="E5" s="65">
        <f>('Plant Data'!$C5*0.85*8760)</f>
        <v>58927.644</v>
      </c>
      <c r="F5" s="65">
        <f>('Plant Data'!$C5*0.85*8760)</f>
        <v>58927.644</v>
      </c>
      <c r="G5" s="65">
        <f>('Plant Data'!$C5*0.85*8760)</f>
        <v>58927.644</v>
      </c>
      <c r="H5" s="65">
        <f>('Plant Data'!$C5*0.85*8760)</f>
        <v>58927.644</v>
      </c>
      <c r="I5" s="65">
        <f>('Plant Data'!$C5*0.85*8760)</f>
        <v>58927.644</v>
      </c>
      <c r="J5" s="65">
        <f>('Plant Data'!$C5*0.85*8760)</f>
        <v>58927.644</v>
      </c>
      <c r="K5" s="65">
        <f>('Plant Data'!$C5*0.85*8760)</f>
        <v>58927.644</v>
      </c>
      <c r="L5" s="65">
        <f>('Plant Data'!$C5*0.85*8760)</f>
        <v>58927.644</v>
      </c>
      <c r="M5" s="65">
        <f>('Plant Data'!$C5*0.85*8760)</f>
        <v>58927.644</v>
      </c>
      <c r="N5" s="65">
        <f>('Plant Data'!$C5*0.85*8760)</f>
        <v>58927.644</v>
      </c>
      <c r="O5" s="65">
        <f>('Plant Data'!$C5*0.85*8760)</f>
        <v>58927.644</v>
      </c>
      <c r="P5" s="65">
        <f>('Plant Data'!$C5*0.85*8760)</f>
        <v>58927.644</v>
      </c>
      <c r="Q5" s="65">
        <f>('Plant Data'!$C5*0.85*8760)</f>
        <v>58927.644</v>
      </c>
      <c r="R5" s="65">
        <f>('Plant Data'!$C5*0.85*8760)</f>
        <v>58927.644</v>
      </c>
      <c r="S5" s="65">
        <f>('Plant Data'!$C5*0.85*8760)</f>
        <v>58927.644</v>
      </c>
      <c r="T5" s="65">
        <f>('Plant Data'!$C5*0.85*8760)</f>
        <v>58927.644</v>
      </c>
      <c r="U5" s="65">
        <f>('Plant Data'!$C5*0.85*8760)</f>
        <v>58927.644</v>
      </c>
      <c r="V5" s="65">
        <f>('Plant Data'!$C5*0.85*8760)</f>
        <v>58927.644</v>
      </c>
      <c r="W5" s="65">
        <f>('Plant Data'!$C5*0.85*8760)</f>
        <v>58927.644</v>
      </c>
      <c r="X5" s="65">
        <f>('Plant Data'!$C5*0.85*8760)</f>
        <v>58927.644</v>
      </c>
      <c r="Y5" s="65">
        <f>('Plant Data'!$C5*0.85*8760)</f>
        <v>58927.644</v>
      </c>
      <c r="Z5" s="65">
        <f>('Plant Data'!$C5*0.85*8760)</f>
        <v>58927.644</v>
      </c>
      <c r="AA5" s="65">
        <f>('Plant Data'!$C5*0.85*8760)</f>
        <v>58927.644</v>
      </c>
      <c r="AB5" s="65">
        <f>('Plant Data'!$C5*0.85*8760)</f>
        <v>58927.644</v>
      </c>
      <c r="AC5" s="65">
        <f>('Plant Data'!$C5*0.85*8760)</f>
        <v>58927.644</v>
      </c>
      <c r="AD5" s="65">
        <f>('Plant Data'!$C5*0.85*8760)</f>
        <v>58927.644</v>
      </c>
      <c r="AE5" s="65">
        <f>('Plant Data'!$C5*0.85*8760)</f>
        <v>58927.644</v>
      </c>
      <c r="AF5" s="65">
        <f>('Plant Data'!$C5*0.85*8760)</f>
        <v>58927.644</v>
      </c>
      <c r="AG5" s="65">
        <f>('Plant Data'!$C5*0.85*8760)</f>
        <v>58927.644</v>
      </c>
      <c r="AH5" s="65">
        <f>('Plant Data'!$C5*0.85*8760)</f>
        <v>58927.644</v>
      </c>
      <c r="AI5" s="65">
        <f>('Plant Data'!$C5*0.85*8760)</f>
        <v>58927.644</v>
      </c>
      <c r="AJ5" s="65">
        <f>('Plant Data'!$C5*0.85*8760)</f>
        <v>58927.644</v>
      </c>
      <c r="AK5" s="65">
        <f>('Plant Data'!$C5*0.85*8760)</f>
        <v>58927.644</v>
      </c>
      <c r="AL5" s="65">
        <f>('Plant Data'!$C5*0.85*8760)</f>
        <v>58927.644</v>
      </c>
      <c r="AM5" s="65">
        <f>('Plant Data'!$C5*0.85*8760)</f>
        <v>58927.644</v>
      </c>
      <c r="AN5" s="65">
        <f>('Plant Data'!$C5*0.85*8760)</f>
        <v>58927.644</v>
      </c>
      <c r="AO5" s="65">
        <f>('Plant Data'!$C5*0.85*8760)</f>
        <v>58927.644</v>
      </c>
      <c r="AP5" s="65">
        <f>('Plant Data'!$C5*0.85*8760)</f>
        <v>58927.644</v>
      </c>
      <c r="AQ5" s="65">
        <f>('Plant Data'!$C5*0.85*8760)</f>
        <v>58927.644</v>
      </c>
      <c r="AR5" s="65">
        <f>('Plant Data'!$C5*0.85*8760)</f>
        <v>58927.644</v>
      </c>
      <c r="AS5" s="65">
        <f>('Plant Data'!$C5*0.85*8760)</f>
        <v>58927.644</v>
      </c>
      <c r="AT5" s="65">
        <f>('Plant Data'!$C5*0.85*8760)</f>
        <v>58927.644</v>
      </c>
      <c r="AU5" s="65">
        <f>('Plant Data'!$C5*0.85*8760)</f>
        <v>58927.644</v>
      </c>
    </row>
    <row r="6" spans="1:51" x14ac:dyDescent="0.2">
      <c r="A6" s="49" t="str">
        <f>IF('Plant Data'!A6="","",'Plant Data'!A6)</f>
        <v>Balingasag power stationUnit 3</v>
      </c>
      <c r="B6" s="65">
        <f>('Plant Data'!C6*0.85*8760)</f>
        <v>58927.644</v>
      </c>
      <c r="C6" s="65">
        <f>('Plant Data'!$C6*0.85*8760)</f>
        <v>58927.644</v>
      </c>
      <c r="D6" s="65">
        <f>('Plant Data'!$C6*0.85*8760)</f>
        <v>58927.644</v>
      </c>
      <c r="E6" s="65">
        <f>('Plant Data'!$C6*0.85*8760)</f>
        <v>58927.644</v>
      </c>
      <c r="F6" s="65">
        <f>('Plant Data'!$C6*0.85*8760)</f>
        <v>58927.644</v>
      </c>
      <c r="G6" s="65">
        <f>('Plant Data'!$C6*0.85*8760)</f>
        <v>58927.644</v>
      </c>
      <c r="H6" s="65">
        <f>('Plant Data'!$C6*0.85*8760)</f>
        <v>58927.644</v>
      </c>
      <c r="I6" s="65">
        <f>('Plant Data'!$C6*0.85*8760)</f>
        <v>58927.644</v>
      </c>
      <c r="J6" s="65">
        <f>('Plant Data'!$C6*0.85*8760)</f>
        <v>58927.644</v>
      </c>
      <c r="K6" s="65">
        <f>('Plant Data'!$C6*0.85*8760)</f>
        <v>58927.644</v>
      </c>
      <c r="L6" s="65">
        <f>('Plant Data'!$C6*0.85*8760)</f>
        <v>58927.644</v>
      </c>
      <c r="M6" s="65">
        <f>('Plant Data'!$C6*0.85*8760)</f>
        <v>58927.644</v>
      </c>
      <c r="N6" s="65">
        <f>('Plant Data'!$C6*0.85*8760)</f>
        <v>58927.644</v>
      </c>
      <c r="O6" s="65">
        <f>('Plant Data'!$C6*0.85*8760)</f>
        <v>58927.644</v>
      </c>
      <c r="P6" s="65">
        <f>('Plant Data'!$C6*0.85*8760)</f>
        <v>58927.644</v>
      </c>
      <c r="Q6" s="65">
        <f>('Plant Data'!$C6*0.85*8760)</f>
        <v>58927.644</v>
      </c>
      <c r="R6" s="65">
        <f>('Plant Data'!$C6*0.85*8760)</f>
        <v>58927.644</v>
      </c>
      <c r="S6" s="65">
        <f>('Plant Data'!$C6*0.85*8760)</f>
        <v>58927.644</v>
      </c>
      <c r="T6" s="65">
        <f>('Plant Data'!$C6*0.85*8760)</f>
        <v>58927.644</v>
      </c>
      <c r="U6" s="65">
        <f>('Plant Data'!$C6*0.85*8760)</f>
        <v>58927.644</v>
      </c>
      <c r="V6" s="65">
        <f>('Plant Data'!$C6*0.85*8760)</f>
        <v>58927.644</v>
      </c>
      <c r="W6" s="65">
        <f>('Plant Data'!$C6*0.85*8760)</f>
        <v>58927.644</v>
      </c>
      <c r="X6" s="65">
        <f>('Plant Data'!$C6*0.85*8760)</f>
        <v>58927.644</v>
      </c>
      <c r="Y6" s="65">
        <f>('Plant Data'!$C6*0.85*8760)</f>
        <v>58927.644</v>
      </c>
      <c r="Z6" s="65">
        <f>('Plant Data'!$C6*0.85*8760)</f>
        <v>58927.644</v>
      </c>
      <c r="AA6" s="65">
        <f>('Plant Data'!$C6*0.85*8760)</f>
        <v>58927.644</v>
      </c>
      <c r="AB6" s="65">
        <f>('Plant Data'!$C6*0.85*8760)</f>
        <v>58927.644</v>
      </c>
      <c r="AC6" s="65">
        <f>('Plant Data'!$C6*0.85*8760)</f>
        <v>58927.644</v>
      </c>
      <c r="AD6" s="65">
        <f>('Plant Data'!$C6*0.85*8760)</f>
        <v>58927.644</v>
      </c>
      <c r="AE6" s="65">
        <f>('Plant Data'!$C6*0.85*8760)</f>
        <v>58927.644</v>
      </c>
      <c r="AF6" s="65">
        <f>('Plant Data'!$C6*0.85*8760)</f>
        <v>58927.644</v>
      </c>
      <c r="AG6" s="65">
        <f>('Plant Data'!$C6*0.85*8760)</f>
        <v>58927.644</v>
      </c>
      <c r="AH6" s="65">
        <f>('Plant Data'!$C6*0.85*8760)</f>
        <v>58927.644</v>
      </c>
      <c r="AI6" s="65">
        <f>('Plant Data'!$C6*0.85*8760)</f>
        <v>58927.644</v>
      </c>
      <c r="AJ6" s="65">
        <f>('Plant Data'!$C6*0.85*8760)</f>
        <v>58927.644</v>
      </c>
      <c r="AK6" s="65">
        <f>('Plant Data'!$C6*0.85*8760)</f>
        <v>58927.644</v>
      </c>
      <c r="AL6" s="65">
        <f>('Plant Data'!$C6*0.85*8760)</f>
        <v>58927.644</v>
      </c>
      <c r="AM6" s="65">
        <f>('Plant Data'!$C6*0.85*8760)</f>
        <v>58927.644</v>
      </c>
      <c r="AN6" s="65">
        <f>('Plant Data'!$C6*0.85*8760)</f>
        <v>58927.644</v>
      </c>
      <c r="AO6" s="65">
        <f>('Plant Data'!$C6*0.85*8760)</f>
        <v>58927.644</v>
      </c>
      <c r="AP6" s="65">
        <f>('Plant Data'!$C6*0.85*8760)</f>
        <v>58927.644</v>
      </c>
      <c r="AQ6" s="65">
        <f>('Plant Data'!$C6*0.85*8760)</f>
        <v>58927.644</v>
      </c>
      <c r="AR6" s="65">
        <f>('Plant Data'!$C6*0.85*8760)</f>
        <v>58927.644</v>
      </c>
      <c r="AS6" s="65">
        <f>('Plant Data'!$C6*0.85*8760)</f>
        <v>58927.644</v>
      </c>
      <c r="AT6" s="65">
        <f>('Plant Data'!$C6*0.85*8760)</f>
        <v>58927.644</v>
      </c>
      <c r="AU6" s="65">
        <f>('Plant Data'!$C6*0.85*8760)</f>
        <v>58927.644</v>
      </c>
    </row>
    <row r="7" spans="1:51" x14ac:dyDescent="0.2">
      <c r="A7" s="49" t="str">
        <f>IF('Plant Data'!A7="","",'Plant Data'!A7)</f>
        <v>Bundagul power station</v>
      </c>
      <c r="B7" s="65">
        <f>('Plant Data'!C11*0.85*8760)</f>
        <v>58927.644</v>
      </c>
      <c r="C7" s="65">
        <f>('Plant Data'!$C7*0.85*8760)</f>
        <v>58927.644</v>
      </c>
      <c r="D7" s="65">
        <f>('Plant Data'!$C7*0.85*8760)</f>
        <v>58927.644</v>
      </c>
      <c r="E7" s="65">
        <f>('Plant Data'!$C7*0.85*8760)</f>
        <v>58927.644</v>
      </c>
      <c r="F7" s="65">
        <f>('Plant Data'!$C7*0.85*8760)</f>
        <v>58927.644</v>
      </c>
      <c r="G7" s="65">
        <f>('Plant Data'!$C7*0.85*8760)</f>
        <v>58927.644</v>
      </c>
      <c r="H7" s="65">
        <f>('Plant Data'!$C7*0.85*8760)</f>
        <v>58927.644</v>
      </c>
      <c r="I7" s="65">
        <f>('Plant Data'!$C7*0.85*8760)</f>
        <v>58927.644</v>
      </c>
      <c r="J7" s="65">
        <f>('Plant Data'!$C7*0.85*8760)</f>
        <v>58927.644</v>
      </c>
      <c r="K7" s="65">
        <f>('Plant Data'!$C7*0.85*8760)</f>
        <v>58927.644</v>
      </c>
      <c r="L7" s="65">
        <f>('Plant Data'!$C7*0.85*8760)</f>
        <v>58927.644</v>
      </c>
      <c r="M7" s="65">
        <f>('Plant Data'!$C7*0.85*8760)</f>
        <v>58927.644</v>
      </c>
      <c r="N7" s="65">
        <f>('Plant Data'!$C7*0.85*8760)</f>
        <v>58927.644</v>
      </c>
      <c r="O7" s="65">
        <f>('Plant Data'!$C7*0.85*8760)</f>
        <v>58927.644</v>
      </c>
      <c r="P7" s="65">
        <f>('Plant Data'!$C7*0.85*8760)</f>
        <v>58927.644</v>
      </c>
      <c r="Q7" s="65">
        <f>('Plant Data'!$C7*0.85*8760)</f>
        <v>58927.644</v>
      </c>
      <c r="R7" s="65">
        <f>('Plant Data'!$C7*0.85*8760)</f>
        <v>58927.644</v>
      </c>
      <c r="S7" s="65">
        <f>('Plant Data'!$C7*0.85*8760)</f>
        <v>58927.644</v>
      </c>
      <c r="T7" s="65">
        <f>('Plant Data'!$C7*0.85*8760)</f>
        <v>58927.644</v>
      </c>
      <c r="U7" s="65">
        <f>('Plant Data'!$C7*0.85*8760)</f>
        <v>58927.644</v>
      </c>
      <c r="V7" s="65">
        <f>('Plant Data'!$C7*0.85*8760)</f>
        <v>58927.644</v>
      </c>
      <c r="W7" s="65">
        <f>('Plant Data'!$C7*0.85*8760)</f>
        <v>58927.644</v>
      </c>
      <c r="X7" s="65">
        <f>('Plant Data'!$C7*0.85*8760)</f>
        <v>58927.644</v>
      </c>
      <c r="Y7" s="65">
        <f>('Plant Data'!$C7*0.85*8760)</f>
        <v>58927.644</v>
      </c>
      <c r="Z7" s="65">
        <f>('Plant Data'!$C7*0.85*8760)</f>
        <v>58927.644</v>
      </c>
      <c r="AA7" s="65">
        <f>('Plant Data'!$C7*0.85*8760)</f>
        <v>58927.644</v>
      </c>
      <c r="AB7" s="65">
        <f>('Plant Data'!$C7*0.85*8760)</f>
        <v>58927.644</v>
      </c>
      <c r="AC7" s="65">
        <f>('Plant Data'!$C7*0.85*8760)</f>
        <v>58927.644</v>
      </c>
      <c r="AD7" s="65">
        <f>('Plant Data'!$C7*0.85*8760)</f>
        <v>58927.644</v>
      </c>
      <c r="AE7" s="65">
        <f>('Plant Data'!$C7*0.85*8760)</f>
        <v>58927.644</v>
      </c>
      <c r="AF7" s="65">
        <f>('Plant Data'!$C7*0.85*8760)</f>
        <v>58927.644</v>
      </c>
      <c r="AG7" s="65">
        <f>('Plant Data'!$C7*0.85*8760)</f>
        <v>58927.644</v>
      </c>
      <c r="AH7" s="65">
        <f>('Plant Data'!$C7*0.85*8760)</f>
        <v>58927.644</v>
      </c>
      <c r="AI7" s="65">
        <f>('Plant Data'!$C7*0.85*8760)</f>
        <v>58927.644</v>
      </c>
      <c r="AJ7" s="65">
        <f>('Plant Data'!$C7*0.85*8760)</f>
        <v>58927.644</v>
      </c>
      <c r="AK7" s="65">
        <f>('Plant Data'!$C7*0.85*8760)</f>
        <v>58927.644</v>
      </c>
      <c r="AL7" s="65">
        <f>('Plant Data'!$C7*0.85*8760)</f>
        <v>58927.644</v>
      </c>
      <c r="AM7" s="65">
        <f>('Plant Data'!$C7*0.85*8760)</f>
        <v>58927.644</v>
      </c>
      <c r="AN7" s="65">
        <f>('Plant Data'!$C7*0.85*8760)</f>
        <v>58927.644</v>
      </c>
      <c r="AO7" s="65">
        <f>('Plant Data'!$C7*0.85*8760)</f>
        <v>58927.644</v>
      </c>
      <c r="AP7" s="65">
        <f>('Plant Data'!$C7*0.85*8760)</f>
        <v>58927.644</v>
      </c>
      <c r="AQ7" s="65">
        <f>('Plant Data'!$C7*0.85*8760)</f>
        <v>58927.644</v>
      </c>
      <c r="AR7" s="65">
        <f>('Plant Data'!$C7*0.85*8760)</f>
        <v>58927.644</v>
      </c>
      <c r="AS7" s="65">
        <f>('Plant Data'!$C7*0.85*8760)</f>
        <v>58927.644</v>
      </c>
      <c r="AT7" s="65">
        <f>('Plant Data'!$C7*0.85*8760)</f>
        <v>58927.644</v>
      </c>
      <c r="AU7" s="65">
        <f>('Plant Data'!$C7*0.85*8760)</f>
        <v>58927.644</v>
      </c>
    </row>
    <row r="8" spans="1:51" x14ac:dyDescent="0.2">
      <c r="A8" s="49" t="str">
        <f>IF('Plant Data'!A8="","",'Plant Data'!A8)</f>
        <v>Calaca power stationUnit 1</v>
      </c>
      <c r="B8" s="65">
        <f>('Plant Data'!C12*0.85*8760)</f>
        <v>58927.644</v>
      </c>
      <c r="C8" s="65">
        <f>('Plant Data'!$C8*0.85*8760)</f>
        <v>58927.644</v>
      </c>
      <c r="D8" s="65">
        <f>('Plant Data'!$C8*0.85*8760)</f>
        <v>58927.644</v>
      </c>
      <c r="E8" s="65">
        <f>('Plant Data'!$C8*0.85*8760)</f>
        <v>58927.644</v>
      </c>
      <c r="F8" s="65">
        <f>('Plant Data'!$C8*0.85*8760)</f>
        <v>58927.644</v>
      </c>
      <c r="G8" s="65">
        <f>('Plant Data'!$C8*0.85*8760)</f>
        <v>58927.644</v>
      </c>
      <c r="H8" s="65">
        <f>('Plant Data'!$C8*0.85*8760)</f>
        <v>58927.644</v>
      </c>
      <c r="I8" s="65">
        <f>('Plant Data'!$C8*0.85*8760)</f>
        <v>58927.644</v>
      </c>
      <c r="J8" s="65">
        <f>('Plant Data'!$C8*0.85*8760)</f>
        <v>58927.644</v>
      </c>
      <c r="K8" s="65">
        <f>('Plant Data'!$C8*0.85*8760)</f>
        <v>58927.644</v>
      </c>
      <c r="L8" s="65">
        <f>('Plant Data'!$C8*0.85*8760)</f>
        <v>58927.644</v>
      </c>
      <c r="M8" s="65">
        <f>('Plant Data'!$C8*0.85*8760)</f>
        <v>58927.644</v>
      </c>
      <c r="N8" s="65">
        <f>('Plant Data'!$C8*0.85*8760)</f>
        <v>58927.644</v>
      </c>
      <c r="O8" s="65">
        <f>('Plant Data'!$C8*0.85*8760)</f>
        <v>58927.644</v>
      </c>
      <c r="P8" s="65">
        <f>('Plant Data'!$C8*0.85*8760)</f>
        <v>58927.644</v>
      </c>
      <c r="Q8" s="65">
        <f>('Plant Data'!$C8*0.85*8760)</f>
        <v>58927.644</v>
      </c>
      <c r="R8" s="65">
        <f>('Plant Data'!$C8*0.85*8760)</f>
        <v>58927.644</v>
      </c>
      <c r="S8" s="65">
        <f>('Plant Data'!$C8*0.85*8760)</f>
        <v>58927.644</v>
      </c>
      <c r="T8" s="65">
        <f>('Plant Data'!$C8*0.85*8760)</f>
        <v>58927.644</v>
      </c>
      <c r="U8" s="65">
        <f>('Plant Data'!$C8*0.85*8760)</f>
        <v>58927.644</v>
      </c>
      <c r="V8" s="65">
        <f>('Plant Data'!$C8*0.85*8760)</f>
        <v>58927.644</v>
      </c>
      <c r="W8" s="65">
        <f>('Plant Data'!$C8*0.85*8760)</f>
        <v>58927.644</v>
      </c>
      <c r="X8" s="65">
        <f>('Plant Data'!$C8*0.85*8760)</f>
        <v>58927.644</v>
      </c>
      <c r="Y8" s="65">
        <f>('Plant Data'!$C8*0.85*8760)</f>
        <v>58927.644</v>
      </c>
      <c r="Z8" s="65">
        <f>('Plant Data'!$C8*0.85*8760)</f>
        <v>58927.644</v>
      </c>
      <c r="AA8" s="65">
        <f>('Plant Data'!$C8*0.85*8760)</f>
        <v>58927.644</v>
      </c>
      <c r="AB8" s="65">
        <f>('Plant Data'!$C8*0.85*8760)</f>
        <v>58927.644</v>
      </c>
      <c r="AC8" s="65">
        <f>('Plant Data'!$C8*0.85*8760)</f>
        <v>58927.644</v>
      </c>
      <c r="AD8" s="65">
        <f>('Plant Data'!$C8*0.85*8760)</f>
        <v>58927.644</v>
      </c>
      <c r="AE8" s="65">
        <f>('Plant Data'!$C8*0.85*8760)</f>
        <v>58927.644</v>
      </c>
      <c r="AF8" s="65">
        <f>('Plant Data'!$C8*0.85*8760)</f>
        <v>58927.644</v>
      </c>
      <c r="AG8" s="65">
        <f>('Plant Data'!$C8*0.85*8760)</f>
        <v>58927.644</v>
      </c>
      <c r="AH8" s="65">
        <f>('Plant Data'!$C8*0.85*8760)</f>
        <v>58927.644</v>
      </c>
      <c r="AI8" s="65">
        <f>('Plant Data'!$C8*0.85*8760)</f>
        <v>58927.644</v>
      </c>
      <c r="AJ8" s="65">
        <f>('Plant Data'!$C8*0.85*8760)</f>
        <v>58927.644</v>
      </c>
      <c r="AK8" s="65">
        <f>('Plant Data'!$C8*0.85*8760)</f>
        <v>58927.644</v>
      </c>
      <c r="AL8" s="65">
        <f>('Plant Data'!$C8*0.85*8760)</f>
        <v>58927.644</v>
      </c>
      <c r="AM8" s="65">
        <f>('Plant Data'!$C8*0.85*8760)</f>
        <v>58927.644</v>
      </c>
      <c r="AN8" s="65">
        <f>('Plant Data'!$C8*0.85*8760)</f>
        <v>58927.644</v>
      </c>
      <c r="AO8" s="65">
        <f>('Plant Data'!$C8*0.85*8760)</f>
        <v>58927.644</v>
      </c>
      <c r="AP8" s="65">
        <f>('Plant Data'!$C8*0.85*8760)</f>
        <v>58927.644</v>
      </c>
      <c r="AQ8" s="65">
        <f>('Plant Data'!$C8*0.85*8760)</f>
        <v>58927.644</v>
      </c>
      <c r="AR8" s="65">
        <f>('Plant Data'!$C8*0.85*8760)</f>
        <v>58927.644</v>
      </c>
      <c r="AS8" s="65">
        <f>('Plant Data'!$C8*0.85*8760)</f>
        <v>58927.644</v>
      </c>
      <c r="AT8" s="65">
        <f>('Plant Data'!$C8*0.85*8760)</f>
        <v>58927.644</v>
      </c>
      <c r="AU8" s="65">
        <f>('Plant Data'!$C8*0.85*8760)</f>
        <v>58927.644</v>
      </c>
    </row>
    <row r="9" spans="1:51" x14ac:dyDescent="0.2">
      <c r="A9" s="49" t="str">
        <f>IF('Plant Data'!A9="","",'Plant Data'!A9)</f>
        <v>Calaca power stationUnit 2</v>
      </c>
      <c r="B9" s="65">
        <f>('Plant Data'!C13*0.85*8760)</f>
        <v>58927.644</v>
      </c>
      <c r="C9" s="65">
        <f>('Plant Data'!$C9*0.85*8760)</f>
        <v>58927.644</v>
      </c>
      <c r="D9" s="65">
        <f>('Plant Data'!$C9*0.85*8760)</f>
        <v>58927.644</v>
      </c>
      <c r="E9" s="65">
        <f>('Plant Data'!$C9*0.85*8760)</f>
        <v>58927.644</v>
      </c>
      <c r="F9" s="65">
        <f>('Plant Data'!$C9*0.85*8760)</f>
        <v>58927.644</v>
      </c>
      <c r="G9" s="65">
        <f>('Plant Data'!$C9*0.85*8760)</f>
        <v>58927.644</v>
      </c>
      <c r="H9" s="65">
        <f>('Plant Data'!$C9*0.85*8760)</f>
        <v>58927.644</v>
      </c>
      <c r="I9" s="65">
        <f>('Plant Data'!$C9*0.85*8760)</f>
        <v>58927.644</v>
      </c>
      <c r="J9" s="65">
        <f>('Plant Data'!$C9*0.85*8760)</f>
        <v>58927.644</v>
      </c>
      <c r="K9" s="65">
        <f>('Plant Data'!$C9*0.85*8760)</f>
        <v>58927.644</v>
      </c>
      <c r="L9" s="65">
        <f>('Plant Data'!$C9*0.85*8760)</f>
        <v>58927.644</v>
      </c>
      <c r="M9" s="65">
        <f>('Plant Data'!$C9*0.85*8760)</f>
        <v>58927.644</v>
      </c>
      <c r="N9" s="65">
        <f>('Plant Data'!$C9*0.85*8760)</f>
        <v>58927.644</v>
      </c>
      <c r="O9" s="65">
        <f>('Plant Data'!$C9*0.85*8760)</f>
        <v>58927.644</v>
      </c>
      <c r="P9" s="65">
        <f>('Plant Data'!$C9*0.85*8760)</f>
        <v>58927.644</v>
      </c>
      <c r="Q9" s="65">
        <f>('Plant Data'!$C9*0.85*8760)</f>
        <v>58927.644</v>
      </c>
      <c r="R9" s="65">
        <f>('Plant Data'!$C9*0.85*8760)</f>
        <v>58927.644</v>
      </c>
      <c r="S9" s="65">
        <f>('Plant Data'!$C9*0.85*8760)</f>
        <v>58927.644</v>
      </c>
      <c r="T9" s="65">
        <f>('Plant Data'!$C9*0.85*8760)</f>
        <v>58927.644</v>
      </c>
      <c r="U9" s="65">
        <f>('Plant Data'!$C9*0.85*8760)</f>
        <v>58927.644</v>
      </c>
      <c r="V9" s="65">
        <f>('Plant Data'!$C9*0.85*8760)</f>
        <v>58927.644</v>
      </c>
      <c r="W9" s="65">
        <f>('Plant Data'!$C9*0.85*8760)</f>
        <v>58927.644</v>
      </c>
      <c r="X9" s="65">
        <f>('Plant Data'!$C9*0.85*8760)</f>
        <v>58927.644</v>
      </c>
      <c r="Y9" s="65">
        <f>('Plant Data'!$C9*0.85*8760)</f>
        <v>58927.644</v>
      </c>
      <c r="Z9" s="65">
        <f>('Plant Data'!$C9*0.85*8760)</f>
        <v>58927.644</v>
      </c>
      <c r="AA9" s="65">
        <f>('Plant Data'!$C9*0.85*8760)</f>
        <v>58927.644</v>
      </c>
      <c r="AB9" s="65">
        <f>('Plant Data'!$C9*0.85*8760)</f>
        <v>58927.644</v>
      </c>
      <c r="AC9" s="65">
        <f>('Plant Data'!$C9*0.85*8760)</f>
        <v>58927.644</v>
      </c>
      <c r="AD9" s="65">
        <f>('Plant Data'!$C9*0.85*8760)</f>
        <v>58927.644</v>
      </c>
      <c r="AE9" s="65">
        <f>('Plant Data'!$C9*0.85*8760)</f>
        <v>58927.644</v>
      </c>
      <c r="AF9" s="65">
        <f>('Plant Data'!$C9*0.85*8760)</f>
        <v>58927.644</v>
      </c>
      <c r="AG9" s="65">
        <f>('Plant Data'!$C9*0.85*8760)</f>
        <v>58927.644</v>
      </c>
      <c r="AH9" s="65">
        <f>('Plant Data'!$C9*0.85*8760)</f>
        <v>58927.644</v>
      </c>
      <c r="AI9" s="65">
        <f>('Plant Data'!$C9*0.85*8760)</f>
        <v>58927.644</v>
      </c>
      <c r="AJ9" s="65">
        <f>('Plant Data'!$C9*0.85*8760)</f>
        <v>58927.644</v>
      </c>
      <c r="AK9" s="65">
        <f>('Plant Data'!$C9*0.85*8760)</f>
        <v>58927.644</v>
      </c>
      <c r="AL9" s="65">
        <f>('Plant Data'!$C9*0.85*8760)</f>
        <v>58927.644</v>
      </c>
      <c r="AM9" s="65">
        <f>('Plant Data'!$C9*0.85*8760)</f>
        <v>58927.644</v>
      </c>
      <c r="AN9" s="65">
        <f>('Plant Data'!$C9*0.85*8760)</f>
        <v>58927.644</v>
      </c>
      <c r="AO9" s="65">
        <f>('Plant Data'!$C9*0.85*8760)</f>
        <v>58927.644</v>
      </c>
      <c r="AP9" s="65">
        <f>('Plant Data'!$C9*0.85*8760)</f>
        <v>58927.644</v>
      </c>
      <c r="AQ9" s="65">
        <f>('Plant Data'!$C9*0.85*8760)</f>
        <v>58927.644</v>
      </c>
      <c r="AR9" s="65">
        <f>('Plant Data'!$C9*0.85*8760)</f>
        <v>58927.644</v>
      </c>
      <c r="AS9" s="65">
        <f>('Plant Data'!$C9*0.85*8760)</f>
        <v>58927.644</v>
      </c>
      <c r="AT9" s="65">
        <f>('Plant Data'!$C9*0.85*8760)</f>
        <v>58927.644</v>
      </c>
      <c r="AU9" s="65">
        <f>('Plant Data'!$C9*0.85*8760)</f>
        <v>58927.644</v>
      </c>
    </row>
    <row r="10" spans="1:51" x14ac:dyDescent="0.2">
      <c r="A10" s="49" t="str">
        <f>IF('Plant Data'!A10="","",'Plant Data'!A10)</f>
        <v>Calaca power stationUnit 3</v>
      </c>
      <c r="B10" s="65">
        <f>('Plant Data'!C14*0.85*8760)</f>
        <v>58927.644</v>
      </c>
      <c r="C10" s="65">
        <f>('Plant Data'!$C10*0.85*8760)</f>
        <v>58927.644</v>
      </c>
      <c r="D10" s="65">
        <f>('Plant Data'!$C10*0.85*8760)</f>
        <v>58927.644</v>
      </c>
      <c r="E10" s="65">
        <f>('Plant Data'!$C10*0.85*8760)</f>
        <v>58927.644</v>
      </c>
      <c r="F10" s="65">
        <f>('Plant Data'!$C10*0.85*8760)</f>
        <v>58927.644</v>
      </c>
      <c r="G10" s="65">
        <f>('Plant Data'!$C10*0.85*8760)</f>
        <v>58927.644</v>
      </c>
      <c r="H10" s="65">
        <f>('Plant Data'!$C10*0.85*8760)</f>
        <v>58927.644</v>
      </c>
      <c r="I10" s="65">
        <f>('Plant Data'!$C10*0.85*8760)</f>
        <v>58927.644</v>
      </c>
      <c r="J10" s="65">
        <f>('Plant Data'!$C10*0.85*8760)</f>
        <v>58927.644</v>
      </c>
      <c r="K10" s="65">
        <f>('Plant Data'!$C10*0.85*8760)</f>
        <v>58927.644</v>
      </c>
      <c r="L10" s="65">
        <f>('Plant Data'!$C10*0.85*8760)</f>
        <v>58927.644</v>
      </c>
      <c r="M10" s="65">
        <f>('Plant Data'!$C10*0.85*8760)</f>
        <v>58927.644</v>
      </c>
      <c r="N10" s="65">
        <f>('Plant Data'!$C10*0.85*8760)</f>
        <v>58927.644</v>
      </c>
      <c r="O10" s="65">
        <f>('Plant Data'!$C10*0.85*8760)</f>
        <v>58927.644</v>
      </c>
      <c r="P10" s="65">
        <f>('Plant Data'!$C10*0.85*8760)</f>
        <v>58927.644</v>
      </c>
      <c r="Q10" s="65">
        <f>('Plant Data'!$C10*0.85*8760)</f>
        <v>58927.644</v>
      </c>
      <c r="R10" s="65">
        <f>('Plant Data'!$C10*0.85*8760)</f>
        <v>58927.644</v>
      </c>
      <c r="S10" s="65">
        <f>('Plant Data'!$C10*0.85*8760)</f>
        <v>58927.644</v>
      </c>
      <c r="T10" s="65">
        <f>('Plant Data'!$C10*0.85*8760)</f>
        <v>58927.644</v>
      </c>
      <c r="U10" s="65">
        <f>('Plant Data'!$C10*0.85*8760)</f>
        <v>58927.644</v>
      </c>
      <c r="V10" s="65">
        <f>('Plant Data'!$C10*0.85*8760)</f>
        <v>58927.644</v>
      </c>
      <c r="W10" s="65">
        <f>('Plant Data'!$C10*0.85*8760)</f>
        <v>58927.644</v>
      </c>
      <c r="X10" s="65">
        <f>('Plant Data'!$C10*0.85*8760)</f>
        <v>58927.644</v>
      </c>
      <c r="Y10" s="65">
        <f>('Plant Data'!$C10*0.85*8760)</f>
        <v>58927.644</v>
      </c>
      <c r="Z10" s="65">
        <f>('Plant Data'!$C10*0.85*8760)</f>
        <v>58927.644</v>
      </c>
      <c r="AA10" s="65">
        <f>('Plant Data'!$C10*0.85*8760)</f>
        <v>58927.644</v>
      </c>
      <c r="AB10" s="65">
        <f>('Plant Data'!$C10*0.85*8760)</f>
        <v>58927.644</v>
      </c>
      <c r="AC10" s="65">
        <f>('Plant Data'!$C10*0.85*8760)</f>
        <v>58927.644</v>
      </c>
      <c r="AD10" s="65">
        <f>('Plant Data'!$C10*0.85*8760)</f>
        <v>58927.644</v>
      </c>
      <c r="AE10" s="65">
        <f>('Plant Data'!$C10*0.85*8760)</f>
        <v>58927.644</v>
      </c>
      <c r="AF10" s="65">
        <f>('Plant Data'!$C10*0.85*8760)</f>
        <v>58927.644</v>
      </c>
      <c r="AG10" s="65">
        <f>('Plant Data'!$C10*0.85*8760)</f>
        <v>58927.644</v>
      </c>
      <c r="AH10" s="65">
        <f>('Plant Data'!$C10*0.85*8760)</f>
        <v>58927.644</v>
      </c>
      <c r="AI10" s="65">
        <f>('Plant Data'!$C10*0.85*8760)</f>
        <v>58927.644</v>
      </c>
      <c r="AJ10" s="65">
        <f>('Plant Data'!$C10*0.85*8760)</f>
        <v>58927.644</v>
      </c>
      <c r="AK10" s="65">
        <f>('Plant Data'!$C10*0.85*8760)</f>
        <v>58927.644</v>
      </c>
      <c r="AL10" s="65">
        <f>('Plant Data'!$C10*0.85*8760)</f>
        <v>58927.644</v>
      </c>
      <c r="AM10" s="65">
        <f>('Plant Data'!$C10*0.85*8760)</f>
        <v>58927.644</v>
      </c>
      <c r="AN10" s="65">
        <f>('Plant Data'!$C10*0.85*8760)</f>
        <v>58927.644</v>
      </c>
      <c r="AO10" s="65">
        <f>('Plant Data'!$C10*0.85*8760)</f>
        <v>58927.644</v>
      </c>
      <c r="AP10" s="65">
        <f>('Plant Data'!$C10*0.85*8760)</f>
        <v>58927.644</v>
      </c>
      <c r="AQ10" s="65">
        <f>('Plant Data'!$C10*0.85*8760)</f>
        <v>58927.644</v>
      </c>
      <c r="AR10" s="65">
        <f>('Plant Data'!$C10*0.85*8760)</f>
        <v>58927.644</v>
      </c>
      <c r="AS10" s="65">
        <f>('Plant Data'!$C10*0.85*8760)</f>
        <v>58927.644</v>
      </c>
      <c r="AT10" s="65">
        <f>('Plant Data'!$C10*0.85*8760)</f>
        <v>58927.644</v>
      </c>
      <c r="AU10" s="65">
        <f>('Plant Data'!$C10*0.85*8760)</f>
        <v>58927.644</v>
      </c>
    </row>
    <row r="11" spans="1:51" x14ac:dyDescent="0.2">
      <c r="A11" s="49" t="str">
        <f>IF('Plant Data'!A11="","",'Plant Data'!A11)</f>
        <v>Calaca power stationUnit 4</v>
      </c>
      <c r="B11" s="65">
        <f>('Plant Data'!C15*0.85*8760)</f>
        <v>58927.644</v>
      </c>
      <c r="C11" s="65">
        <f>('Plant Data'!$C11*0.85*8760)</f>
        <v>58927.644</v>
      </c>
      <c r="D11" s="65">
        <f>('Plant Data'!$C11*0.85*8760)</f>
        <v>58927.644</v>
      </c>
      <c r="E11" s="65">
        <f>('Plant Data'!$C11*0.85*8760)</f>
        <v>58927.644</v>
      </c>
      <c r="F11" s="65">
        <f>('Plant Data'!$C11*0.85*8760)</f>
        <v>58927.644</v>
      </c>
      <c r="G11" s="65">
        <f>('Plant Data'!$C11*0.85*8760)</f>
        <v>58927.644</v>
      </c>
      <c r="H11" s="65">
        <f>('Plant Data'!$C11*0.85*8760)</f>
        <v>58927.644</v>
      </c>
      <c r="I11" s="65">
        <f>('Plant Data'!$C11*0.85*8760)</f>
        <v>58927.644</v>
      </c>
      <c r="J11" s="65">
        <f>('Plant Data'!$C11*0.85*8760)</f>
        <v>58927.644</v>
      </c>
      <c r="K11" s="65">
        <f>('Plant Data'!$C11*0.85*8760)</f>
        <v>58927.644</v>
      </c>
      <c r="L11" s="65">
        <f>('Plant Data'!$C11*0.85*8760)</f>
        <v>58927.644</v>
      </c>
      <c r="M11" s="65">
        <f>('Plant Data'!$C11*0.85*8760)</f>
        <v>58927.644</v>
      </c>
      <c r="N11" s="65">
        <f>('Plant Data'!$C11*0.85*8760)</f>
        <v>58927.644</v>
      </c>
      <c r="O11" s="65">
        <f>('Plant Data'!$C11*0.85*8760)</f>
        <v>58927.644</v>
      </c>
      <c r="P11" s="65">
        <f>('Plant Data'!$C11*0.85*8760)</f>
        <v>58927.644</v>
      </c>
      <c r="Q11" s="65">
        <f>('Plant Data'!$C11*0.85*8760)</f>
        <v>58927.644</v>
      </c>
      <c r="R11" s="65">
        <f>('Plant Data'!$C11*0.85*8760)</f>
        <v>58927.644</v>
      </c>
      <c r="S11" s="65">
        <f>('Plant Data'!$C11*0.85*8760)</f>
        <v>58927.644</v>
      </c>
      <c r="T11" s="65">
        <f>('Plant Data'!$C11*0.85*8760)</f>
        <v>58927.644</v>
      </c>
      <c r="U11" s="65">
        <f>('Plant Data'!$C11*0.85*8760)</f>
        <v>58927.644</v>
      </c>
      <c r="V11" s="65">
        <f>('Plant Data'!$C11*0.85*8760)</f>
        <v>58927.644</v>
      </c>
      <c r="W11" s="65">
        <f>('Plant Data'!$C11*0.85*8760)</f>
        <v>58927.644</v>
      </c>
      <c r="X11" s="65">
        <f>('Plant Data'!$C11*0.85*8760)</f>
        <v>58927.644</v>
      </c>
      <c r="Y11" s="65">
        <f>('Plant Data'!$C11*0.85*8760)</f>
        <v>58927.644</v>
      </c>
      <c r="Z11" s="65">
        <f>('Plant Data'!$C11*0.85*8760)</f>
        <v>58927.644</v>
      </c>
      <c r="AA11" s="65">
        <f>('Plant Data'!$C11*0.85*8760)</f>
        <v>58927.644</v>
      </c>
      <c r="AB11" s="65">
        <f>('Plant Data'!$C11*0.85*8760)</f>
        <v>58927.644</v>
      </c>
      <c r="AC11" s="65">
        <f>('Plant Data'!$C11*0.85*8760)</f>
        <v>58927.644</v>
      </c>
      <c r="AD11" s="65">
        <f>('Plant Data'!$C11*0.85*8760)</f>
        <v>58927.644</v>
      </c>
      <c r="AE11" s="65">
        <f>('Plant Data'!$C11*0.85*8760)</f>
        <v>58927.644</v>
      </c>
      <c r="AF11" s="65">
        <f>('Plant Data'!$C11*0.85*8760)</f>
        <v>58927.644</v>
      </c>
      <c r="AG11" s="65">
        <f>('Plant Data'!$C11*0.85*8760)</f>
        <v>58927.644</v>
      </c>
      <c r="AH11" s="65">
        <f>('Plant Data'!$C11*0.85*8760)</f>
        <v>58927.644</v>
      </c>
      <c r="AI11" s="65">
        <f>('Plant Data'!$C11*0.85*8760)</f>
        <v>58927.644</v>
      </c>
      <c r="AJ11" s="65">
        <f>('Plant Data'!$C11*0.85*8760)</f>
        <v>58927.644</v>
      </c>
      <c r="AK11" s="65">
        <f>('Plant Data'!$C11*0.85*8760)</f>
        <v>58927.644</v>
      </c>
      <c r="AL11" s="65">
        <f>('Plant Data'!$C11*0.85*8760)</f>
        <v>58927.644</v>
      </c>
      <c r="AM11" s="65">
        <f>('Plant Data'!$C11*0.85*8760)</f>
        <v>58927.644</v>
      </c>
      <c r="AN11" s="65">
        <f>('Plant Data'!$C11*0.85*8760)</f>
        <v>58927.644</v>
      </c>
      <c r="AO11" s="65">
        <f>('Plant Data'!$C11*0.85*8760)</f>
        <v>58927.644</v>
      </c>
      <c r="AP11" s="65">
        <f>('Plant Data'!$C11*0.85*8760)</f>
        <v>58927.644</v>
      </c>
      <c r="AQ11" s="65">
        <f>('Plant Data'!$C11*0.85*8760)</f>
        <v>58927.644</v>
      </c>
      <c r="AR11" s="65">
        <f>('Plant Data'!$C11*0.85*8760)</f>
        <v>58927.644</v>
      </c>
      <c r="AS11" s="65">
        <f>('Plant Data'!$C11*0.85*8760)</f>
        <v>58927.644</v>
      </c>
      <c r="AT11" s="65">
        <f>('Plant Data'!$C11*0.85*8760)</f>
        <v>58927.644</v>
      </c>
      <c r="AU11" s="65">
        <f>('Plant Data'!$C11*0.85*8760)</f>
        <v>58927.644</v>
      </c>
    </row>
    <row r="12" spans="1:51" x14ac:dyDescent="0.2">
      <c r="A12" s="49" t="str">
        <f>IF('Plant Data'!A12="","",'Plant Data'!A12)</f>
        <v>Cebu Energy power stationUnit 1</v>
      </c>
      <c r="B12" s="65">
        <f>('Plant Data'!C16*0.85*8760)</f>
        <v>58927.644</v>
      </c>
      <c r="C12" s="65">
        <f>('Plant Data'!$C12*0.85*8760)</f>
        <v>58927.644</v>
      </c>
      <c r="D12" s="65">
        <f>('Plant Data'!$C12*0.85*8760)</f>
        <v>58927.644</v>
      </c>
      <c r="E12" s="65">
        <f>('Plant Data'!$C12*0.85*8760)</f>
        <v>58927.644</v>
      </c>
      <c r="F12" s="65">
        <f>('Plant Data'!$C12*0.85*8760)</f>
        <v>58927.644</v>
      </c>
      <c r="G12" s="65">
        <f>('Plant Data'!$C12*0.85*8760)</f>
        <v>58927.644</v>
      </c>
      <c r="H12" s="65">
        <f>('Plant Data'!$C12*0.85*8760)</f>
        <v>58927.644</v>
      </c>
      <c r="I12" s="65">
        <f>('Plant Data'!$C12*0.85*8760)</f>
        <v>58927.644</v>
      </c>
      <c r="J12" s="65">
        <f>('Plant Data'!$C12*0.85*8760)</f>
        <v>58927.644</v>
      </c>
      <c r="K12" s="65">
        <f>('Plant Data'!$C12*0.85*8760)</f>
        <v>58927.644</v>
      </c>
      <c r="L12" s="65">
        <f>('Plant Data'!$C12*0.85*8760)</f>
        <v>58927.644</v>
      </c>
      <c r="M12" s="65">
        <f>('Plant Data'!$C12*0.85*8760)</f>
        <v>58927.644</v>
      </c>
      <c r="N12" s="65">
        <f>('Plant Data'!$C12*0.85*8760)</f>
        <v>58927.644</v>
      </c>
      <c r="O12" s="65">
        <f>('Plant Data'!$C12*0.85*8760)</f>
        <v>58927.644</v>
      </c>
      <c r="P12" s="65">
        <f>('Plant Data'!$C12*0.85*8760)</f>
        <v>58927.644</v>
      </c>
      <c r="Q12" s="65">
        <f>('Plant Data'!$C12*0.85*8760)</f>
        <v>58927.644</v>
      </c>
      <c r="R12" s="65">
        <f>('Plant Data'!$C12*0.85*8760)</f>
        <v>58927.644</v>
      </c>
      <c r="S12" s="65">
        <f>('Plant Data'!$C12*0.85*8760)</f>
        <v>58927.644</v>
      </c>
      <c r="T12" s="65">
        <f>('Plant Data'!$C12*0.85*8760)</f>
        <v>58927.644</v>
      </c>
      <c r="U12" s="65">
        <f>('Plant Data'!$C12*0.85*8760)</f>
        <v>58927.644</v>
      </c>
      <c r="V12" s="65">
        <f>('Plant Data'!$C12*0.85*8760)</f>
        <v>58927.644</v>
      </c>
      <c r="W12" s="65">
        <f>('Plant Data'!$C12*0.85*8760)</f>
        <v>58927.644</v>
      </c>
      <c r="X12" s="65">
        <f>('Plant Data'!$C12*0.85*8760)</f>
        <v>58927.644</v>
      </c>
      <c r="Y12" s="65">
        <f>('Plant Data'!$C12*0.85*8760)</f>
        <v>58927.644</v>
      </c>
      <c r="Z12" s="65">
        <f>('Plant Data'!$C12*0.85*8760)</f>
        <v>58927.644</v>
      </c>
      <c r="AA12" s="65">
        <f>('Plant Data'!$C12*0.85*8760)</f>
        <v>58927.644</v>
      </c>
      <c r="AB12" s="65">
        <f>('Plant Data'!$C12*0.85*8760)</f>
        <v>58927.644</v>
      </c>
      <c r="AC12" s="65">
        <f>('Plant Data'!$C12*0.85*8760)</f>
        <v>58927.644</v>
      </c>
      <c r="AD12" s="65">
        <f>('Plant Data'!$C12*0.85*8760)</f>
        <v>58927.644</v>
      </c>
      <c r="AE12" s="65">
        <f>('Plant Data'!$C12*0.85*8760)</f>
        <v>58927.644</v>
      </c>
      <c r="AF12" s="65">
        <f>('Plant Data'!$C12*0.85*8760)</f>
        <v>58927.644</v>
      </c>
      <c r="AG12" s="65">
        <f>('Plant Data'!$C12*0.85*8760)</f>
        <v>58927.644</v>
      </c>
      <c r="AH12" s="65">
        <f>('Plant Data'!$C12*0.85*8760)</f>
        <v>58927.644</v>
      </c>
      <c r="AI12" s="65">
        <f>('Plant Data'!$C12*0.85*8760)</f>
        <v>58927.644</v>
      </c>
      <c r="AJ12" s="65">
        <f>('Plant Data'!$C12*0.85*8760)</f>
        <v>58927.644</v>
      </c>
      <c r="AK12" s="65">
        <f>('Plant Data'!$C12*0.85*8760)</f>
        <v>58927.644</v>
      </c>
      <c r="AL12" s="65">
        <f>('Plant Data'!$C12*0.85*8760)</f>
        <v>58927.644</v>
      </c>
      <c r="AM12" s="65">
        <f>('Plant Data'!$C12*0.85*8760)</f>
        <v>58927.644</v>
      </c>
      <c r="AN12" s="65">
        <f>('Plant Data'!$C12*0.85*8760)</f>
        <v>58927.644</v>
      </c>
      <c r="AO12" s="65">
        <f>('Plant Data'!$C12*0.85*8760)</f>
        <v>58927.644</v>
      </c>
      <c r="AP12" s="65">
        <f>('Plant Data'!$C12*0.85*8760)</f>
        <v>58927.644</v>
      </c>
      <c r="AQ12" s="65">
        <f>('Plant Data'!$C12*0.85*8760)</f>
        <v>58927.644</v>
      </c>
      <c r="AR12" s="65">
        <f>('Plant Data'!$C12*0.85*8760)</f>
        <v>58927.644</v>
      </c>
      <c r="AS12" s="65">
        <f>('Plant Data'!$C12*0.85*8760)</f>
        <v>58927.644</v>
      </c>
      <c r="AT12" s="65">
        <f>('Plant Data'!$C12*0.85*8760)</f>
        <v>58927.644</v>
      </c>
      <c r="AU12" s="65">
        <f>('Plant Data'!$C12*0.85*8760)</f>
        <v>58927.644</v>
      </c>
    </row>
    <row r="13" spans="1:51" x14ac:dyDescent="0.2">
      <c r="A13" s="49" t="str">
        <f>IF('Plant Data'!A13="","",'Plant Data'!A13)</f>
        <v>Cebu Energy power stationUnit 2</v>
      </c>
      <c r="B13" s="65">
        <f>('Plant Data'!C17*0.85*8760)</f>
        <v>58927.644</v>
      </c>
      <c r="C13" s="65">
        <f>('Plant Data'!$C13*0.85*8760)</f>
        <v>58927.644</v>
      </c>
      <c r="D13" s="65">
        <f>('Plant Data'!$C13*0.85*8760)</f>
        <v>58927.644</v>
      </c>
      <c r="E13" s="65">
        <f>('Plant Data'!$C13*0.85*8760)</f>
        <v>58927.644</v>
      </c>
      <c r="F13" s="65">
        <f>('Plant Data'!$C13*0.85*8760)</f>
        <v>58927.644</v>
      </c>
      <c r="G13" s="65">
        <f>('Plant Data'!$C13*0.85*8760)</f>
        <v>58927.644</v>
      </c>
      <c r="H13" s="65">
        <f>('Plant Data'!$C13*0.85*8760)</f>
        <v>58927.644</v>
      </c>
      <c r="I13" s="65">
        <f>('Plant Data'!$C13*0.85*8760)</f>
        <v>58927.644</v>
      </c>
      <c r="J13" s="65">
        <f>('Plant Data'!$C13*0.85*8760)</f>
        <v>58927.644</v>
      </c>
      <c r="K13" s="65">
        <f>('Plant Data'!$C13*0.85*8760)</f>
        <v>58927.644</v>
      </c>
      <c r="L13" s="65">
        <f>('Plant Data'!$C13*0.85*8760)</f>
        <v>58927.644</v>
      </c>
      <c r="M13" s="65">
        <f>('Plant Data'!$C13*0.85*8760)</f>
        <v>58927.644</v>
      </c>
      <c r="N13" s="65">
        <f>('Plant Data'!$C13*0.85*8760)</f>
        <v>58927.644</v>
      </c>
      <c r="O13" s="65">
        <f>('Plant Data'!$C13*0.85*8760)</f>
        <v>58927.644</v>
      </c>
      <c r="P13" s="65">
        <f>('Plant Data'!$C13*0.85*8760)</f>
        <v>58927.644</v>
      </c>
      <c r="Q13" s="65">
        <f>('Plant Data'!$C13*0.85*8760)</f>
        <v>58927.644</v>
      </c>
      <c r="R13" s="65">
        <f>('Plant Data'!$C13*0.85*8760)</f>
        <v>58927.644</v>
      </c>
      <c r="S13" s="65">
        <f>('Plant Data'!$C13*0.85*8760)</f>
        <v>58927.644</v>
      </c>
      <c r="T13" s="65">
        <f>('Plant Data'!$C13*0.85*8760)</f>
        <v>58927.644</v>
      </c>
      <c r="U13" s="65">
        <f>('Plant Data'!$C13*0.85*8760)</f>
        <v>58927.644</v>
      </c>
      <c r="V13" s="65">
        <f>('Plant Data'!$C13*0.85*8760)</f>
        <v>58927.644</v>
      </c>
      <c r="W13" s="65">
        <f>('Plant Data'!$C13*0.85*8760)</f>
        <v>58927.644</v>
      </c>
      <c r="X13" s="65">
        <f>('Plant Data'!$C13*0.85*8760)</f>
        <v>58927.644</v>
      </c>
      <c r="Y13" s="65">
        <f>('Plant Data'!$C13*0.85*8760)</f>
        <v>58927.644</v>
      </c>
      <c r="Z13" s="65">
        <f>('Plant Data'!$C13*0.85*8760)</f>
        <v>58927.644</v>
      </c>
      <c r="AA13" s="65">
        <f>('Plant Data'!$C13*0.85*8760)</f>
        <v>58927.644</v>
      </c>
      <c r="AB13" s="65">
        <f>('Plant Data'!$C13*0.85*8760)</f>
        <v>58927.644</v>
      </c>
      <c r="AC13" s="65">
        <f>('Plant Data'!$C13*0.85*8760)</f>
        <v>58927.644</v>
      </c>
      <c r="AD13" s="65">
        <f>('Plant Data'!$C13*0.85*8760)</f>
        <v>58927.644</v>
      </c>
      <c r="AE13" s="65">
        <f>('Plant Data'!$C13*0.85*8760)</f>
        <v>58927.644</v>
      </c>
      <c r="AF13" s="65">
        <f>('Plant Data'!$C13*0.85*8760)</f>
        <v>58927.644</v>
      </c>
      <c r="AG13" s="65">
        <f>('Plant Data'!$C13*0.85*8760)</f>
        <v>58927.644</v>
      </c>
      <c r="AH13" s="65">
        <f>('Plant Data'!$C13*0.85*8760)</f>
        <v>58927.644</v>
      </c>
      <c r="AI13" s="65">
        <f>('Plant Data'!$C13*0.85*8760)</f>
        <v>58927.644</v>
      </c>
      <c r="AJ13" s="65">
        <f>('Plant Data'!$C13*0.85*8760)</f>
        <v>58927.644</v>
      </c>
      <c r="AK13" s="65">
        <f>('Plant Data'!$C13*0.85*8760)</f>
        <v>58927.644</v>
      </c>
      <c r="AL13" s="65">
        <f>('Plant Data'!$C13*0.85*8760)</f>
        <v>58927.644</v>
      </c>
      <c r="AM13" s="65">
        <f>('Plant Data'!$C13*0.85*8760)</f>
        <v>58927.644</v>
      </c>
      <c r="AN13" s="65">
        <f>('Plant Data'!$C13*0.85*8760)</f>
        <v>58927.644</v>
      </c>
      <c r="AO13" s="65">
        <f>('Plant Data'!$C13*0.85*8760)</f>
        <v>58927.644</v>
      </c>
      <c r="AP13" s="65">
        <f>('Plant Data'!$C13*0.85*8760)</f>
        <v>58927.644</v>
      </c>
      <c r="AQ13" s="65">
        <f>('Plant Data'!$C13*0.85*8760)</f>
        <v>58927.644</v>
      </c>
      <c r="AR13" s="65">
        <f>('Plant Data'!$C13*0.85*8760)</f>
        <v>58927.644</v>
      </c>
      <c r="AS13" s="65">
        <f>('Plant Data'!$C13*0.85*8760)</f>
        <v>58927.644</v>
      </c>
      <c r="AT13" s="65">
        <f>('Plant Data'!$C13*0.85*8760)</f>
        <v>58927.644</v>
      </c>
      <c r="AU13" s="65">
        <f>('Plant Data'!$C13*0.85*8760)</f>
        <v>58927.644</v>
      </c>
    </row>
    <row r="14" spans="1:51" x14ac:dyDescent="0.2">
      <c r="A14" s="49" t="str">
        <f>IF('Plant Data'!A14="","",'Plant Data'!A14)</f>
        <v>Cebu Energy power stationUnit 3</v>
      </c>
      <c r="B14" s="65">
        <f>('Plant Data'!C18*0.85*8760)</f>
        <v>58927.644</v>
      </c>
      <c r="C14" s="65">
        <f>('Plant Data'!$C14*0.85*8760)</f>
        <v>58927.644</v>
      </c>
      <c r="D14" s="65">
        <f>('Plant Data'!$C14*0.85*8760)</f>
        <v>58927.644</v>
      </c>
      <c r="E14" s="65">
        <f>('Plant Data'!$C14*0.85*8760)</f>
        <v>58927.644</v>
      </c>
      <c r="F14" s="65">
        <f>('Plant Data'!$C14*0.85*8760)</f>
        <v>58927.644</v>
      </c>
      <c r="G14" s="65">
        <f>('Plant Data'!$C14*0.85*8760)</f>
        <v>58927.644</v>
      </c>
      <c r="H14" s="65">
        <f>('Plant Data'!$C14*0.85*8760)</f>
        <v>58927.644</v>
      </c>
      <c r="I14" s="65">
        <f>('Plant Data'!$C14*0.85*8760)</f>
        <v>58927.644</v>
      </c>
      <c r="J14" s="65">
        <f>('Plant Data'!$C14*0.85*8760)</f>
        <v>58927.644</v>
      </c>
      <c r="K14" s="65">
        <f>('Plant Data'!$C14*0.85*8760)</f>
        <v>58927.644</v>
      </c>
      <c r="L14" s="65">
        <f>('Plant Data'!$C14*0.85*8760)</f>
        <v>58927.644</v>
      </c>
      <c r="M14" s="65">
        <f>('Plant Data'!$C14*0.85*8760)</f>
        <v>58927.644</v>
      </c>
      <c r="N14" s="65">
        <f>('Plant Data'!$C14*0.85*8760)</f>
        <v>58927.644</v>
      </c>
      <c r="O14" s="65">
        <f>('Plant Data'!$C14*0.85*8760)</f>
        <v>58927.644</v>
      </c>
      <c r="P14" s="65">
        <f>('Plant Data'!$C14*0.85*8760)</f>
        <v>58927.644</v>
      </c>
      <c r="Q14" s="65">
        <f>('Plant Data'!$C14*0.85*8760)</f>
        <v>58927.644</v>
      </c>
      <c r="R14" s="65">
        <f>('Plant Data'!$C14*0.85*8760)</f>
        <v>58927.644</v>
      </c>
      <c r="S14" s="65">
        <f>('Plant Data'!$C14*0.85*8760)</f>
        <v>58927.644</v>
      </c>
      <c r="T14" s="65">
        <f>('Plant Data'!$C14*0.85*8760)</f>
        <v>58927.644</v>
      </c>
      <c r="U14" s="65">
        <f>('Plant Data'!$C14*0.85*8760)</f>
        <v>58927.644</v>
      </c>
      <c r="V14" s="65">
        <f>('Plant Data'!$C14*0.85*8760)</f>
        <v>58927.644</v>
      </c>
      <c r="W14" s="65">
        <f>('Plant Data'!$C14*0.85*8760)</f>
        <v>58927.644</v>
      </c>
      <c r="X14" s="65">
        <f>('Plant Data'!$C14*0.85*8760)</f>
        <v>58927.644</v>
      </c>
      <c r="Y14" s="65">
        <f>('Plant Data'!$C14*0.85*8760)</f>
        <v>58927.644</v>
      </c>
      <c r="Z14" s="65">
        <f>('Plant Data'!$C14*0.85*8760)</f>
        <v>58927.644</v>
      </c>
      <c r="AA14" s="65">
        <f>('Plant Data'!$C14*0.85*8760)</f>
        <v>58927.644</v>
      </c>
      <c r="AB14" s="65">
        <f>('Plant Data'!$C14*0.85*8760)</f>
        <v>58927.644</v>
      </c>
      <c r="AC14" s="65">
        <f>('Plant Data'!$C14*0.85*8760)</f>
        <v>58927.644</v>
      </c>
      <c r="AD14" s="65">
        <f>('Plant Data'!$C14*0.85*8760)</f>
        <v>58927.644</v>
      </c>
      <c r="AE14" s="65">
        <f>('Plant Data'!$C14*0.85*8760)</f>
        <v>58927.644</v>
      </c>
      <c r="AF14" s="65">
        <f>('Plant Data'!$C14*0.85*8760)</f>
        <v>58927.644</v>
      </c>
      <c r="AG14" s="65">
        <f>('Plant Data'!$C14*0.85*8760)</f>
        <v>58927.644</v>
      </c>
      <c r="AH14" s="65">
        <f>('Plant Data'!$C14*0.85*8760)</f>
        <v>58927.644</v>
      </c>
      <c r="AI14" s="65">
        <f>('Plant Data'!$C14*0.85*8760)</f>
        <v>58927.644</v>
      </c>
      <c r="AJ14" s="65">
        <f>('Plant Data'!$C14*0.85*8760)</f>
        <v>58927.644</v>
      </c>
      <c r="AK14" s="65">
        <f>('Plant Data'!$C14*0.85*8760)</f>
        <v>58927.644</v>
      </c>
      <c r="AL14" s="65">
        <f>('Plant Data'!$C14*0.85*8760)</f>
        <v>58927.644</v>
      </c>
      <c r="AM14" s="65">
        <f>('Plant Data'!$C14*0.85*8760)</f>
        <v>58927.644</v>
      </c>
      <c r="AN14" s="65">
        <f>('Plant Data'!$C14*0.85*8760)</f>
        <v>58927.644</v>
      </c>
      <c r="AO14" s="65">
        <f>('Plant Data'!$C14*0.85*8760)</f>
        <v>58927.644</v>
      </c>
      <c r="AP14" s="65">
        <f>('Plant Data'!$C14*0.85*8760)</f>
        <v>58927.644</v>
      </c>
      <c r="AQ14" s="65">
        <f>('Plant Data'!$C14*0.85*8760)</f>
        <v>58927.644</v>
      </c>
      <c r="AR14" s="65">
        <f>('Plant Data'!$C14*0.85*8760)</f>
        <v>58927.644</v>
      </c>
      <c r="AS14" s="65">
        <f>('Plant Data'!$C14*0.85*8760)</f>
        <v>58927.644</v>
      </c>
      <c r="AT14" s="65">
        <f>('Plant Data'!$C14*0.85*8760)</f>
        <v>58927.644</v>
      </c>
      <c r="AU14" s="65">
        <f>('Plant Data'!$C14*0.85*8760)</f>
        <v>58927.644</v>
      </c>
    </row>
    <row r="15" spans="1:51" x14ac:dyDescent="0.2">
      <c r="A15" s="49" t="str">
        <f>IF('Plant Data'!A15="","",'Plant Data'!A15)</f>
        <v>Concepcion power stationUnit 1</v>
      </c>
      <c r="B15" s="65">
        <f>('Plant Data'!C19*0.85*8760)</f>
        <v>58927.644</v>
      </c>
      <c r="C15" s="65">
        <f>('Plant Data'!$C15*0.85*8760)</f>
        <v>58927.644</v>
      </c>
      <c r="D15" s="65">
        <f>('Plant Data'!$C15*0.85*8760)</f>
        <v>58927.644</v>
      </c>
      <c r="E15" s="65">
        <f>('Plant Data'!$C15*0.85*8760)</f>
        <v>58927.644</v>
      </c>
      <c r="F15" s="65">
        <f>('Plant Data'!$C15*0.85*8760)</f>
        <v>58927.644</v>
      </c>
      <c r="G15" s="65">
        <f>('Plant Data'!$C15*0.85*8760)</f>
        <v>58927.644</v>
      </c>
      <c r="H15" s="65">
        <f>('Plant Data'!$C15*0.85*8760)</f>
        <v>58927.644</v>
      </c>
      <c r="I15" s="65">
        <f>('Plant Data'!$C15*0.85*8760)</f>
        <v>58927.644</v>
      </c>
      <c r="J15" s="65">
        <f>('Plant Data'!$C15*0.85*8760)</f>
        <v>58927.644</v>
      </c>
      <c r="K15" s="65">
        <f>('Plant Data'!$C15*0.85*8760)</f>
        <v>58927.644</v>
      </c>
      <c r="L15" s="65">
        <f>('Plant Data'!$C15*0.85*8760)</f>
        <v>58927.644</v>
      </c>
      <c r="M15" s="65">
        <f>('Plant Data'!$C15*0.85*8760)</f>
        <v>58927.644</v>
      </c>
      <c r="N15" s="65">
        <f>('Plant Data'!$C15*0.85*8760)</f>
        <v>58927.644</v>
      </c>
      <c r="O15" s="65">
        <f>('Plant Data'!$C15*0.85*8760)</f>
        <v>58927.644</v>
      </c>
      <c r="P15" s="65">
        <f>('Plant Data'!$C15*0.85*8760)</f>
        <v>58927.644</v>
      </c>
      <c r="Q15" s="65">
        <f>('Plant Data'!$C15*0.85*8760)</f>
        <v>58927.644</v>
      </c>
      <c r="R15" s="65">
        <f>('Plant Data'!$C15*0.85*8760)</f>
        <v>58927.644</v>
      </c>
      <c r="S15" s="65">
        <f>('Plant Data'!$C15*0.85*8760)</f>
        <v>58927.644</v>
      </c>
      <c r="T15" s="65">
        <f>('Plant Data'!$C15*0.85*8760)</f>
        <v>58927.644</v>
      </c>
      <c r="U15" s="65">
        <f>('Plant Data'!$C15*0.85*8760)</f>
        <v>58927.644</v>
      </c>
      <c r="V15" s="65">
        <f>('Plant Data'!$C15*0.85*8760)</f>
        <v>58927.644</v>
      </c>
      <c r="W15" s="65">
        <f>('Plant Data'!$C15*0.85*8760)</f>
        <v>58927.644</v>
      </c>
      <c r="X15" s="65">
        <f>('Plant Data'!$C15*0.85*8760)</f>
        <v>58927.644</v>
      </c>
      <c r="Y15" s="65">
        <f>('Plant Data'!$C15*0.85*8760)</f>
        <v>58927.644</v>
      </c>
      <c r="Z15" s="65">
        <f>('Plant Data'!$C15*0.85*8760)</f>
        <v>58927.644</v>
      </c>
      <c r="AA15" s="65">
        <f>('Plant Data'!$C15*0.85*8760)</f>
        <v>58927.644</v>
      </c>
      <c r="AB15" s="65">
        <f>('Plant Data'!$C15*0.85*8760)</f>
        <v>58927.644</v>
      </c>
      <c r="AC15" s="65">
        <f>('Plant Data'!$C15*0.85*8760)</f>
        <v>58927.644</v>
      </c>
      <c r="AD15" s="65">
        <f>('Plant Data'!$C15*0.85*8760)</f>
        <v>58927.644</v>
      </c>
      <c r="AE15" s="65">
        <f>('Plant Data'!$C15*0.85*8760)</f>
        <v>58927.644</v>
      </c>
      <c r="AF15" s="65">
        <f>('Plant Data'!$C15*0.85*8760)</f>
        <v>58927.644</v>
      </c>
      <c r="AG15" s="65">
        <f>('Plant Data'!$C15*0.85*8760)</f>
        <v>58927.644</v>
      </c>
      <c r="AH15" s="65">
        <f>('Plant Data'!$C15*0.85*8760)</f>
        <v>58927.644</v>
      </c>
      <c r="AI15" s="65">
        <f>('Plant Data'!$C15*0.85*8760)</f>
        <v>58927.644</v>
      </c>
      <c r="AJ15" s="65">
        <f>('Plant Data'!$C15*0.85*8760)</f>
        <v>58927.644</v>
      </c>
      <c r="AK15" s="65">
        <f>('Plant Data'!$C15*0.85*8760)</f>
        <v>58927.644</v>
      </c>
      <c r="AL15" s="65">
        <f>('Plant Data'!$C15*0.85*8760)</f>
        <v>58927.644</v>
      </c>
      <c r="AM15" s="65">
        <f>('Plant Data'!$C15*0.85*8760)</f>
        <v>58927.644</v>
      </c>
      <c r="AN15" s="65">
        <f>('Plant Data'!$C15*0.85*8760)</f>
        <v>58927.644</v>
      </c>
      <c r="AO15" s="65">
        <f>('Plant Data'!$C15*0.85*8760)</f>
        <v>58927.644</v>
      </c>
      <c r="AP15" s="65">
        <f>('Plant Data'!$C15*0.85*8760)</f>
        <v>58927.644</v>
      </c>
      <c r="AQ15" s="65">
        <f>('Plant Data'!$C15*0.85*8760)</f>
        <v>58927.644</v>
      </c>
      <c r="AR15" s="65">
        <f>('Plant Data'!$C15*0.85*8760)</f>
        <v>58927.644</v>
      </c>
      <c r="AS15" s="65">
        <f>('Plant Data'!$C15*0.85*8760)</f>
        <v>58927.644</v>
      </c>
      <c r="AT15" s="65">
        <f>('Plant Data'!$C15*0.85*8760)</f>
        <v>58927.644</v>
      </c>
      <c r="AU15" s="65">
        <f>('Plant Data'!$C15*0.85*8760)</f>
        <v>58927.644</v>
      </c>
    </row>
    <row r="16" spans="1:51" x14ac:dyDescent="0.2">
      <c r="A16" s="49" t="str">
        <f>IF('Plant Data'!A16="","",'Plant Data'!A16)</f>
        <v>Davao San Miguel power stationUnit 1</v>
      </c>
      <c r="B16" s="65">
        <f>('Plant Data'!C20*0.85*8760)</f>
        <v>58927.644</v>
      </c>
      <c r="C16" s="65">
        <f>('Plant Data'!$C16*0.85*8760)</f>
        <v>58927.644</v>
      </c>
      <c r="D16" s="65">
        <f>('Plant Data'!$C16*0.85*8760)</f>
        <v>58927.644</v>
      </c>
      <c r="E16" s="65">
        <f>('Plant Data'!$C16*0.85*8760)</f>
        <v>58927.644</v>
      </c>
      <c r="F16" s="65">
        <f>('Plant Data'!$C16*0.85*8760)</f>
        <v>58927.644</v>
      </c>
      <c r="G16" s="65">
        <f>('Plant Data'!$C16*0.85*8760)</f>
        <v>58927.644</v>
      </c>
      <c r="H16" s="65">
        <f>('Plant Data'!$C16*0.85*8760)</f>
        <v>58927.644</v>
      </c>
      <c r="I16" s="65">
        <f>('Plant Data'!$C16*0.85*8760)</f>
        <v>58927.644</v>
      </c>
      <c r="J16" s="65">
        <f>('Plant Data'!$C16*0.85*8760)</f>
        <v>58927.644</v>
      </c>
      <c r="K16" s="65">
        <f>('Plant Data'!$C16*0.85*8760)</f>
        <v>58927.644</v>
      </c>
      <c r="L16" s="65">
        <f>('Plant Data'!$C16*0.85*8760)</f>
        <v>58927.644</v>
      </c>
      <c r="M16" s="65">
        <f>('Plant Data'!$C16*0.85*8760)</f>
        <v>58927.644</v>
      </c>
      <c r="N16" s="65">
        <f>('Plant Data'!$C16*0.85*8760)</f>
        <v>58927.644</v>
      </c>
      <c r="O16" s="65">
        <f>('Plant Data'!$C16*0.85*8760)</f>
        <v>58927.644</v>
      </c>
      <c r="P16" s="65">
        <f>('Plant Data'!$C16*0.85*8760)</f>
        <v>58927.644</v>
      </c>
      <c r="Q16" s="65">
        <f>('Plant Data'!$C16*0.85*8760)</f>
        <v>58927.644</v>
      </c>
      <c r="R16" s="65">
        <f>('Plant Data'!$C16*0.85*8760)</f>
        <v>58927.644</v>
      </c>
      <c r="S16" s="65">
        <f>('Plant Data'!$C16*0.85*8760)</f>
        <v>58927.644</v>
      </c>
      <c r="T16" s="65">
        <f>('Plant Data'!$C16*0.85*8760)</f>
        <v>58927.644</v>
      </c>
      <c r="U16" s="65">
        <f>('Plant Data'!$C16*0.85*8760)</f>
        <v>58927.644</v>
      </c>
      <c r="V16" s="65">
        <f>('Plant Data'!$C16*0.85*8760)</f>
        <v>58927.644</v>
      </c>
      <c r="W16" s="65">
        <f>('Plant Data'!$C16*0.85*8760)</f>
        <v>58927.644</v>
      </c>
      <c r="X16" s="65">
        <f>('Plant Data'!$C16*0.85*8760)</f>
        <v>58927.644</v>
      </c>
      <c r="Y16" s="65">
        <f>('Plant Data'!$C16*0.85*8760)</f>
        <v>58927.644</v>
      </c>
      <c r="Z16" s="65">
        <f>('Plant Data'!$C16*0.85*8760)</f>
        <v>58927.644</v>
      </c>
      <c r="AA16" s="65">
        <f>('Plant Data'!$C16*0.85*8760)</f>
        <v>58927.644</v>
      </c>
      <c r="AB16" s="65">
        <f>('Plant Data'!$C16*0.85*8760)</f>
        <v>58927.644</v>
      </c>
      <c r="AC16" s="65">
        <f>('Plant Data'!$C16*0.85*8760)</f>
        <v>58927.644</v>
      </c>
      <c r="AD16" s="65">
        <f>('Plant Data'!$C16*0.85*8760)</f>
        <v>58927.644</v>
      </c>
      <c r="AE16" s="65">
        <f>('Plant Data'!$C16*0.85*8760)</f>
        <v>58927.644</v>
      </c>
      <c r="AF16" s="65">
        <f>('Plant Data'!$C16*0.85*8760)</f>
        <v>58927.644</v>
      </c>
      <c r="AG16" s="65">
        <f>('Plant Data'!$C16*0.85*8760)</f>
        <v>58927.644</v>
      </c>
      <c r="AH16" s="65">
        <f>('Plant Data'!$C16*0.85*8760)</f>
        <v>58927.644</v>
      </c>
      <c r="AI16" s="65">
        <f>('Plant Data'!$C16*0.85*8760)</f>
        <v>58927.644</v>
      </c>
      <c r="AJ16" s="65">
        <f>('Plant Data'!$C16*0.85*8760)</f>
        <v>58927.644</v>
      </c>
      <c r="AK16" s="65">
        <f>('Plant Data'!$C16*0.85*8760)</f>
        <v>58927.644</v>
      </c>
      <c r="AL16" s="65">
        <f>('Plant Data'!$C16*0.85*8760)</f>
        <v>58927.644</v>
      </c>
      <c r="AM16" s="65">
        <f>('Plant Data'!$C16*0.85*8760)</f>
        <v>58927.644</v>
      </c>
      <c r="AN16" s="65">
        <f>('Plant Data'!$C16*0.85*8760)</f>
        <v>58927.644</v>
      </c>
      <c r="AO16" s="65">
        <f>('Plant Data'!$C16*0.85*8760)</f>
        <v>58927.644</v>
      </c>
      <c r="AP16" s="65">
        <f>('Plant Data'!$C16*0.85*8760)</f>
        <v>58927.644</v>
      </c>
      <c r="AQ16" s="65">
        <f>('Plant Data'!$C16*0.85*8760)</f>
        <v>58927.644</v>
      </c>
      <c r="AR16" s="65">
        <f>('Plant Data'!$C16*0.85*8760)</f>
        <v>58927.644</v>
      </c>
      <c r="AS16" s="65">
        <f>('Plant Data'!$C16*0.85*8760)</f>
        <v>58927.644</v>
      </c>
      <c r="AT16" s="65">
        <f>('Plant Data'!$C16*0.85*8760)</f>
        <v>58927.644</v>
      </c>
      <c r="AU16" s="65">
        <f>('Plant Data'!$C16*0.85*8760)</f>
        <v>58927.644</v>
      </c>
    </row>
    <row r="17" spans="1:47" ht="15.75" customHeight="1" x14ac:dyDescent="0.2">
      <c r="A17" s="49" t="str">
        <f>IF('Plant Data'!A17="","",'Plant Data'!A17)</f>
        <v>Davao San Miguel power stationUnit 2</v>
      </c>
      <c r="B17" s="65">
        <f>('Plant Data'!C21*0.85*8760)</f>
        <v>58927.644</v>
      </c>
      <c r="C17" s="65">
        <f>('Plant Data'!$C17*0.85*8760)</f>
        <v>58927.644</v>
      </c>
      <c r="D17" s="65">
        <f>('Plant Data'!$C17*0.85*8760)</f>
        <v>58927.644</v>
      </c>
      <c r="E17" s="65">
        <f>('Plant Data'!$C17*0.85*8760)</f>
        <v>58927.644</v>
      </c>
      <c r="F17" s="65">
        <f>('Plant Data'!$C17*0.85*8760)</f>
        <v>58927.644</v>
      </c>
      <c r="G17" s="65">
        <f>('Plant Data'!$C17*0.85*8760)</f>
        <v>58927.644</v>
      </c>
      <c r="H17" s="65">
        <f>('Plant Data'!$C17*0.85*8760)</f>
        <v>58927.644</v>
      </c>
      <c r="I17" s="65">
        <f>('Plant Data'!$C17*0.85*8760)</f>
        <v>58927.644</v>
      </c>
      <c r="J17" s="65">
        <f>('Plant Data'!$C17*0.85*8760)</f>
        <v>58927.644</v>
      </c>
      <c r="K17" s="65">
        <f>('Plant Data'!$C17*0.85*8760)</f>
        <v>58927.644</v>
      </c>
      <c r="L17" s="65">
        <f>('Plant Data'!$C17*0.85*8760)</f>
        <v>58927.644</v>
      </c>
      <c r="M17" s="65">
        <f>('Plant Data'!$C17*0.85*8760)</f>
        <v>58927.644</v>
      </c>
      <c r="N17" s="65">
        <f>('Plant Data'!$C17*0.85*8760)</f>
        <v>58927.644</v>
      </c>
      <c r="O17" s="65">
        <f>('Plant Data'!$C17*0.85*8760)</f>
        <v>58927.644</v>
      </c>
      <c r="P17" s="65">
        <f>('Plant Data'!$C17*0.85*8760)</f>
        <v>58927.644</v>
      </c>
      <c r="Q17" s="65">
        <f>('Plant Data'!$C17*0.85*8760)</f>
        <v>58927.644</v>
      </c>
      <c r="R17" s="65">
        <f>('Plant Data'!$C17*0.85*8760)</f>
        <v>58927.644</v>
      </c>
      <c r="S17" s="65">
        <f>('Plant Data'!$C17*0.85*8760)</f>
        <v>58927.644</v>
      </c>
      <c r="T17" s="65">
        <f>('Plant Data'!$C17*0.85*8760)</f>
        <v>58927.644</v>
      </c>
      <c r="U17" s="65">
        <f>('Plant Data'!$C17*0.85*8760)</f>
        <v>58927.644</v>
      </c>
      <c r="V17" s="65">
        <f>('Plant Data'!$C17*0.85*8760)</f>
        <v>58927.644</v>
      </c>
      <c r="W17" s="65">
        <f>('Plant Data'!$C17*0.85*8760)</f>
        <v>58927.644</v>
      </c>
      <c r="X17" s="65">
        <f>('Plant Data'!$C17*0.85*8760)</f>
        <v>58927.644</v>
      </c>
      <c r="Y17" s="65">
        <f>('Plant Data'!$C17*0.85*8760)</f>
        <v>58927.644</v>
      </c>
      <c r="Z17" s="65">
        <f>('Plant Data'!$C17*0.85*8760)</f>
        <v>58927.644</v>
      </c>
      <c r="AA17" s="65">
        <f>('Plant Data'!$C17*0.85*8760)</f>
        <v>58927.644</v>
      </c>
      <c r="AB17" s="65">
        <f>('Plant Data'!$C17*0.85*8760)</f>
        <v>58927.644</v>
      </c>
      <c r="AC17" s="65">
        <f>('Plant Data'!$C17*0.85*8760)</f>
        <v>58927.644</v>
      </c>
      <c r="AD17" s="65">
        <f>('Plant Data'!$C17*0.85*8760)</f>
        <v>58927.644</v>
      </c>
      <c r="AE17" s="65">
        <f>('Plant Data'!$C17*0.85*8760)</f>
        <v>58927.644</v>
      </c>
      <c r="AF17" s="65">
        <f>('Plant Data'!$C17*0.85*8760)</f>
        <v>58927.644</v>
      </c>
      <c r="AG17" s="65">
        <f>('Plant Data'!$C17*0.85*8760)</f>
        <v>58927.644</v>
      </c>
      <c r="AH17" s="65">
        <f>('Plant Data'!$C17*0.85*8760)</f>
        <v>58927.644</v>
      </c>
      <c r="AI17" s="65">
        <f>('Plant Data'!$C17*0.85*8760)</f>
        <v>58927.644</v>
      </c>
      <c r="AJ17" s="65">
        <f>('Plant Data'!$C17*0.85*8760)</f>
        <v>58927.644</v>
      </c>
      <c r="AK17" s="65">
        <f>('Plant Data'!$C17*0.85*8760)</f>
        <v>58927.644</v>
      </c>
      <c r="AL17" s="65">
        <f>('Plant Data'!$C17*0.85*8760)</f>
        <v>58927.644</v>
      </c>
      <c r="AM17" s="65">
        <f>('Plant Data'!$C17*0.85*8760)</f>
        <v>58927.644</v>
      </c>
      <c r="AN17" s="65">
        <f>('Plant Data'!$C17*0.85*8760)</f>
        <v>58927.644</v>
      </c>
      <c r="AO17" s="65">
        <f>('Plant Data'!$C17*0.85*8760)</f>
        <v>58927.644</v>
      </c>
      <c r="AP17" s="65">
        <f>('Plant Data'!$C17*0.85*8760)</f>
        <v>58927.644</v>
      </c>
      <c r="AQ17" s="65">
        <f>('Plant Data'!$C17*0.85*8760)</f>
        <v>58927.644</v>
      </c>
      <c r="AR17" s="65">
        <f>('Plant Data'!$C17*0.85*8760)</f>
        <v>58927.644</v>
      </c>
      <c r="AS17" s="65">
        <f>('Plant Data'!$C17*0.85*8760)</f>
        <v>58927.644</v>
      </c>
      <c r="AT17" s="65">
        <f>('Plant Data'!$C17*0.85*8760)</f>
        <v>58927.644</v>
      </c>
      <c r="AU17" s="65">
        <f>('Plant Data'!$C17*0.85*8760)</f>
        <v>58927.644</v>
      </c>
    </row>
    <row r="18" spans="1:47" ht="15.75" customHeight="1" x14ac:dyDescent="0.2">
      <c r="A18" s="49" t="str">
        <f>IF('Plant Data'!A18="","",'Plant Data'!A18)</f>
        <v>Davao Therma South power stationUnit 1</v>
      </c>
      <c r="B18" s="65">
        <f>('Plant Data'!C22*0.85*8760)</f>
        <v>58927.644</v>
      </c>
      <c r="C18" s="65">
        <f>('Plant Data'!$C18*0.85*8760)</f>
        <v>58927.644</v>
      </c>
      <c r="D18" s="65">
        <f>('Plant Data'!$C18*0.85*8760)</f>
        <v>58927.644</v>
      </c>
      <c r="E18" s="65">
        <f>('Plant Data'!$C18*0.85*8760)</f>
        <v>58927.644</v>
      </c>
      <c r="F18" s="65">
        <f>('Plant Data'!$C18*0.85*8760)</f>
        <v>58927.644</v>
      </c>
      <c r="G18" s="65">
        <f>('Plant Data'!$C18*0.85*8760)</f>
        <v>58927.644</v>
      </c>
      <c r="H18" s="65">
        <f>('Plant Data'!$C18*0.85*8760)</f>
        <v>58927.644</v>
      </c>
      <c r="I18" s="65">
        <f>('Plant Data'!$C18*0.85*8760)</f>
        <v>58927.644</v>
      </c>
      <c r="J18" s="65">
        <f>('Plant Data'!$C18*0.85*8760)</f>
        <v>58927.644</v>
      </c>
      <c r="K18" s="65">
        <f>('Plant Data'!$C18*0.85*8760)</f>
        <v>58927.644</v>
      </c>
      <c r="L18" s="65">
        <f>('Plant Data'!$C18*0.85*8760)</f>
        <v>58927.644</v>
      </c>
      <c r="M18" s="65">
        <f>('Plant Data'!$C18*0.85*8760)</f>
        <v>58927.644</v>
      </c>
      <c r="N18" s="65">
        <f>('Plant Data'!$C18*0.85*8760)</f>
        <v>58927.644</v>
      </c>
      <c r="O18" s="65">
        <f>('Plant Data'!$C18*0.85*8760)</f>
        <v>58927.644</v>
      </c>
      <c r="P18" s="65">
        <f>('Plant Data'!$C18*0.85*8760)</f>
        <v>58927.644</v>
      </c>
      <c r="Q18" s="65">
        <f>('Plant Data'!$C18*0.85*8760)</f>
        <v>58927.644</v>
      </c>
      <c r="R18" s="65">
        <f>('Plant Data'!$C18*0.85*8760)</f>
        <v>58927.644</v>
      </c>
      <c r="S18" s="65">
        <f>('Plant Data'!$C18*0.85*8760)</f>
        <v>58927.644</v>
      </c>
      <c r="T18" s="65">
        <f>('Plant Data'!$C18*0.85*8760)</f>
        <v>58927.644</v>
      </c>
      <c r="U18" s="65">
        <f>('Plant Data'!$C18*0.85*8760)</f>
        <v>58927.644</v>
      </c>
      <c r="V18" s="65">
        <f>('Plant Data'!$C18*0.85*8760)</f>
        <v>58927.644</v>
      </c>
      <c r="W18" s="65">
        <f>('Plant Data'!$C18*0.85*8760)</f>
        <v>58927.644</v>
      </c>
      <c r="X18" s="65">
        <f>('Plant Data'!$C18*0.85*8760)</f>
        <v>58927.644</v>
      </c>
      <c r="Y18" s="65">
        <f>('Plant Data'!$C18*0.85*8760)</f>
        <v>58927.644</v>
      </c>
      <c r="Z18" s="65">
        <f>('Plant Data'!$C18*0.85*8760)</f>
        <v>58927.644</v>
      </c>
      <c r="AA18" s="65">
        <f>('Plant Data'!$C18*0.85*8760)</f>
        <v>58927.644</v>
      </c>
      <c r="AB18" s="65">
        <f>('Plant Data'!$C18*0.85*8760)</f>
        <v>58927.644</v>
      </c>
      <c r="AC18" s="65">
        <f>('Plant Data'!$C18*0.85*8760)</f>
        <v>58927.644</v>
      </c>
      <c r="AD18" s="65">
        <f>('Plant Data'!$C18*0.85*8760)</f>
        <v>58927.644</v>
      </c>
      <c r="AE18" s="65">
        <f>('Plant Data'!$C18*0.85*8760)</f>
        <v>58927.644</v>
      </c>
      <c r="AF18" s="65">
        <f>('Plant Data'!$C18*0.85*8760)</f>
        <v>58927.644</v>
      </c>
      <c r="AG18" s="65">
        <f>('Plant Data'!$C18*0.85*8760)</f>
        <v>58927.644</v>
      </c>
      <c r="AH18" s="65">
        <f>('Plant Data'!$C18*0.85*8760)</f>
        <v>58927.644</v>
      </c>
      <c r="AI18" s="65">
        <f>('Plant Data'!$C18*0.85*8760)</f>
        <v>58927.644</v>
      </c>
      <c r="AJ18" s="65">
        <f>('Plant Data'!$C18*0.85*8760)</f>
        <v>58927.644</v>
      </c>
      <c r="AK18" s="65">
        <f>('Plant Data'!$C18*0.85*8760)</f>
        <v>58927.644</v>
      </c>
      <c r="AL18" s="65">
        <f>('Plant Data'!$C18*0.85*8760)</f>
        <v>58927.644</v>
      </c>
      <c r="AM18" s="65">
        <f>('Plant Data'!$C18*0.85*8760)</f>
        <v>58927.644</v>
      </c>
      <c r="AN18" s="65">
        <f>('Plant Data'!$C18*0.85*8760)</f>
        <v>58927.644</v>
      </c>
      <c r="AO18" s="65">
        <f>('Plant Data'!$C18*0.85*8760)</f>
        <v>58927.644</v>
      </c>
      <c r="AP18" s="65">
        <f>('Plant Data'!$C18*0.85*8760)</f>
        <v>58927.644</v>
      </c>
      <c r="AQ18" s="65">
        <f>('Plant Data'!$C18*0.85*8760)</f>
        <v>58927.644</v>
      </c>
      <c r="AR18" s="65">
        <f>('Plant Data'!$C18*0.85*8760)</f>
        <v>58927.644</v>
      </c>
      <c r="AS18" s="65">
        <f>('Plant Data'!$C18*0.85*8760)</f>
        <v>58927.644</v>
      </c>
      <c r="AT18" s="65">
        <f>('Plant Data'!$C18*0.85*8760)</f>
        <v>58927.644</v>
      </c>
      <c r="AU18" s="65">
        <f>('Plant Data'!$C18*0.85*8760)</f>
        <v>58927.644</v>
      </c>
    </row>
    <row r="19" spans="1:47" ht="15.75" customHeight="1" x14ac:dyDescent="0.2">
      <c r="A19" s="49" t="str">
        <f>IF('Plant Data'!A19="","",'Plant Data'!A19)</f>
        <v>Davao Therma South power stationUnit 2</v>
      </c>
      <c r="B19" s="65">
        <f>('Plant Data'!C23*0.85*8760)</f>
        <v>58927.644</v>
      </c>
      <c r="C19" s="65">
        <f>('Plant Data'!$C19*0.85*8760)</f>
        <v>58927.644</v>
      </c>
      <c r="D19" s="65">
        <f>('Plant Data'!$C19*0.85*8760)</f>
        <v>58927.644</v>
      </c>
      <c r="E19" s="65">
        <f>('Plant Data'!$C19*0.85*8760)</f>
        <v>58927.644</v>
      </c>
      <c r="F19" s="65">
        <f>('Plant Data'!$C19*0.85*8760)</f>
        <v>58927.644</v>
      </c>
      <c r="G19" s="65">
        <f>('Plant Data'!$C19*0.85*8760)</f>
        <v>58927.644</v>
      </c>
      <c r="H19" s="65">
        <f>('Plant Data'!$C19*0.85*8760)</f>
        <v>58927.644</v>
      </c>
      <c r="I19" s="65">
        <f>('Plant Data'!$C19*0.85*8760)</f>
        <v>58927.644</v>
      </c>
      <c r="J19" s="65">
        <f>('Plant Data'!$C19*0.85*8760)</f>
        <v>58927.644</v>
      </c>
      <c r="K19" s="65">
        <f>('Plant Data'!$C19*0.85*8760)</f>
        <v>58927.644</v>
      </c>
      <c r="L19" s="65">
        <f>('Plant Data'!$C19*0.85*8760)</f>
        <v>58927.644</v>
      </c>
      <c r="M19" s="65">
        <f>('Plant Data'!$C19*0.85*8760)</f>
        <v>58927.644</v>
      </c>
      <c r="N19" s="65">
        <f>('Plant Data'!$C19*0.85*8760)</f>
        <v>58927.644</v>
      </c>
      <c r="O19" s="65">
        <f>('Plant Data'!$C19*0.85*8760)</f>
        <v>58927.644</v>
      </c>
      <c r="P19" s="65">
        <f>('Plant Data'!$C19*0.85*8760)</f>
        <v>58927.644</v>
      </c>
      <c r="Q19" s="65">
        <f>('Plant Data'!$C19*0.85*8760)</f>
        <v>58927.644</v>
      </c>
      <c r="R19" s="65">
        <f>('Plant Data'!$C19*0.85*8760)</f>
        <v>58927.644</v>
      </c>
      <c r="S19" s="65">
        <f>('Plant Data'!$C19*0.85*8760)</f>
        <v>58927.644</v>
      </c>
      <c r="T19" s="65">
        <f>('Plant Data'!$C19*0.85*8760)</f>
        <v>58927.644</v>
      </c>
      <c r="U19" s="65">
        <f>('Plant Data'!$C19*0.85*8760)</f>
        <v>58927.644</v>
      </c>
      <c r="V19" s="65">
        <f>('Plant Data'!$C19*0.85*8760)</f>
        <v>58927.644</v>
      </c>
      <c r="W19" s="65">
        <f>('Plant Data'!$C19*0.85*8760)</f>
        <v>58927.644</v>
      </c>
      <c r="X19" s="65">
        <f>('Plant Data'!$C19*0.85*8760)</f>
        <v>58927.644</v>
      </c>
      <c r="Y19" s="65">
        <f>('Plant Data'!$C19*0.85*8760)</f>
        <v>58927.644</v>
      </c>
      <c r="Z19" s="65">
        <f>('Plant Data'!$C19*0.85*8760)</f>
        <v>58927.644</v>
      </c>
      <c r="AA19" s="65">
        <f>('Plant Data'!$C19*0.85*8760)</f>
        <v>58927.644</v>
      </c>
      <c r="AB19" s="65">
        <f>('Plant Data'!$C19*0.85*8760)</f>
        <v>58927.644</v>
      </c>
      <c r="AC19" s="65">
        <f>('Plant Data'!$C19*0.85*8760)</f>
        <v>58927.644</v>
      </c>
      <c r="AD19" s="65">
        <f>('Plant Data'!$C19*0.85*8760)</f>
        <v>58927.644</v>
      </c>
      <c r="AE19" s="65">
        <f>('Plant Data'!$C19*0.85*8760)</f>
        <v>58927.644</v>
      </c>
      <c r="AF19" s="65">
        <f>('Plant Data'!$C19*0.85*8760)</f>
        <v>58927.644</v>
      </c>
      <c r="AG19" s="65">
        <f>('Plant Data'!$C19*0.85*8760)</f>
        <v>58927.644</v>
      </c>
      <c r="AH19" s="65">
        <f>('Plant Data'!$C19*0.85*8760)</f>
        <v>58927.644</v>
      </c>
      <c r="AI19" s="65">
        <f>('Plant Data'!$C19*0.85*8760)</f>
        <v>58927.644</v>
      </c>
      <c r="AJ19" s="65">
        <f>('Plant Data'!$C19*0.85*8760)</f>
        <v>58927.644</v>
      </c>
      <c r="AK19" s="65">
        <f>('Plant Data'!$C19*0.85*8760)</f>
        <v>58927.644</v>
      </c>
      <c r="AL19" s="65">
        <f>('Plant Data'!$C19*0.85*8760)</f>
        <v>58927.644</v>
      </c>
      <c r="AM19" s="65">
        <f>('Plant Data'!$C19*0.85*8760)</f>
        <v>58927.644</v>
      </c>
      <c r="AN19" s="65">
        <f>('Plant Data'!$C19*0.85*8760)</f>
        <v>58927.644</v>
      </c>
      <c r="AO19" s="65">
        <f>('Plant Data'!$C19*0.85*8760)</f>
        <v>58927.644</v>
      </c>
      <c r="AP19" s="65">
        <f>('Plant Data'!$C19*0.85*8760)</f>
        <v>58927.644</v>
      </c>
      <c r="AQ19" s="65">
        <f>('Plant Data'!$C19*0.85*8760)</f>
        <v>58927.644</v>
      </c>
      <c r="AR19" s="65">
        <f>('Plant Data'!$C19*0.85*8760)</f>
        <v>58927.644</v>
      </c>
      <c r="AS19" s="65">
        <f>('Plant Data'!$C19*0.85*8760)</f>
        <v>58927.644</v>
      </c>
      <c r="AT19" s="65">
        <f>('Plant Data'!$C19*0.85*8760)</f>
        <v>58927.644</v>
      </c>
      <c r="AU19" s="65">
        <f>('Plant Data'!$C19*0.85*8760)</f>
        <v>58927.644</v>
      </c>
    </row>
    <row r="20" spans="1:47" ht="15.75" customHeight="1" x14ac:dyDescent="0.2">
      <c r="A20" s="49" t="str">
        <f>IF('Plant Data'!A20="","",'Plant Data'!A20)</f>
        <v>Dinginin power stationUnit 1</v>
      </c>
      <c r="B20" s="65">
        <f>('Plant Data'!C24*0.85*8760)</f>
        <v>58927.644</v>
      </c>
      <c r="C20" s="65">
        <f>('Plant Data'!$C20*0.85*8760)</f>
        <v>58927.644</v>
      </c>
      <c r="D20" s="65">
        <f>('Plant Data'!$C20*0.85*8760)</f>
        <v>58927.644</v>
      </c>
      <c r="E20" s="65">
        <f>('Plant Data'!$C20*0.85*8760)</f>
        <v>58927.644</v>
      </c>
      <c r="F20" s="65">
        <f>('Plant Data'!$C20*0.85*8760)</f>
        <v>58927.644</v>
      </c>
      <c r="G20" s="65">
        <f>('Plant Data'!$C20*0.85*8760)</f>
        <v>58927.644</v>
      </c>
      <c r="H20" s="65">
        <f>('Plant Data'!$C20*0.85*8760)</f>
        <v>58927.644</v>
      </c>
      <c r="I20" s="65">
        <f>('Plant Data'!$C20*0.85*8760)</f>
        <v>58927.644</v>
      </c>
      <c r="J20" s="65">
        <f>('Plant Data'!$C20*0.85*8760)</f>
        <v>58927.644</v>
      </c>
      <c r="K20" s="65">
        <f>('Plant Data'!$C20*0.85*8760)</f>
        <v>58927.644</v>
      </c>
      <c r="L20" s="65">
        <f>('Plant Data'!$C20*0.85*8760)</f>
        <v>58927.644</v>
      </c>
      <c r="M20" s="65">
        <f>('Plant Data'!$C20*0.85*8760)</f>
        <v>58927.644</v>
      </c>
      <c r="N20" s="65">
        <f>('Plant Data'!$C20*0.85*8760)</f>
        <v>58927.644</v>
      </c>
      <c r="O20" s="65">
        <f>('Plant Data'!$C20*0.85*8760)</f>
        <v>58927.644</v>
      </c>
      <c r="P20" s="65">
        <f>('Plant Data'!$C20*0.85*8760)</f>
        <v>58927.644</v>
      </c>
      <c r="Q20" s="65">
        <f>('Plant Data'!$C20*0.85*8760)</f>
        <v>58927.644</v>
      </c>
      <c r="R20" s="65">
        <f>('Plant Data'!$C20*0.85*8760)</f>
        <v>58927.644</v>
      </c>
      <c r="S20" s="65">
        <f>('Plant Data'!$C20*0.85*8760)</f>
        <v>58927.644</v>
      </c>
      <c r="T20" s="65">
        <f>('Plant Data'!$C20*0.85*8760)</f>
        <v>58927.644</v>
      </c>
      <c r="U20" s="65">
        <f>('Plant Data'!$C20*0.85*8760)</f>
        <v>58927.644</v>
      </c>
      <c r="V20" s="65">
        <f>('Plant Data'!$C20*0.85*8760)</f>
        <v>58927.644</v>
      </c>
      <c r="W20" s="65">
        <f>('Plant Data'!$C20*0.85*8760)</f>
        <v>58927.644</v>
      </c>
      <c r="X20" s="65">
        <f>('Plant Data'!$C20*0.85*8760)</f>
        <v>58927.644</v>
      </c>
      <c r="Y20" s="65">
        <f>('Plant Data'!$C20*0.85*8760)</f>
        <v>58927.644</v>
      </c>
      <c r="Z20" s="65">
        <f>('Plant Data'!$C20*0.85*8760)</f>
        <v>58927.644</v>
      </c>
      <c r="AA20" s="65">
        <f>('Plant Data'!$C20*0.85*8760)</f>
        <v>58927.644</v>
      </c>
      <c r="AB20" s="65">
        <f>('Plant Data'!$C20*0.85*8760)</f>
        <v>58927.644</v>
      </c>
      <c r="AC20" s="65">
        <f>('Plant Data'!$C20*0.85*8760)</f>
        <v>58927.644</v>
      </c>
      <c r="AD20" s="65">
        <f>('Plant Data'!$C20*0.85*8760)</f>
        <v>58927.644</v>
      </c>
      <c r="AE20" s="65">
        <f>('Plant Data'!$C20*0.85*8760)</f>
        <v>58927.644</v>
      </c>
      <c r="AF20" s="65">
        <f>('Plant Data'!$C20*0.85*8760)</f>
        <v>58927.644</v>
      </c>
      <c r="AG20" s="65">
        <f>('Plant Data'!$C20*0.85*8760)</f>
        <v>58927.644</v>
      </c>
      <c r="AH20" s="65">
        <f>('Plant Data'!$C20*0.85*8760)</f>
        <v>58927.644</v>
      </c>
      <c r="AI20" s="65">
        <f>('Plant Data'!$C20*0.85*8760)</f>
        <v>58927.644</v>
      </c>
      <c r="AJ20" s="65">
        <f>('Plant Data'!$C20*0.85*8760)</f>
        <v>58927.644</v>
      </c>
      <c r="AK20" s="65">
        <f>('Plant Data'!$C20*0.85*8760)</f>
        <v>58927.644</v>
      </c>
      <c r="AL20" s="65">
        <f>('Plant Data'!$C20*0.85*8760)</f>
        <v>58927.644</v>
      </c>
      <c r="AM20" s="65">
        <f>('Plant Data'!$C20*0.85*8760)</f>
        <v>58927.644</v>
      </c>
      <c r="AN20" s="65">
        <f>('Plant Data'!$C20*0.85*8760)</f>
        <v>58927.644</v>
      </c>
      <c r="AO20" s="65">
        <f>('Plant Data'!$C20*0.85*8760)</f>
        <v>58927.644</v>
      </c>
      <c r="AP20" s="65">
        <f>('Plant Data'!$C20*0.85*8760)</f>
        <v>58927.644</v>
      </c>
      <c r="AQ20" s="65">
        <f>('Plant Data'!$C20*0.85*8760)</f>
        <v>58927.644</v>
      </c>
      <c r="AR20" s="65">
        <f>('Plant Data'!$C20*0.85*8760)</f>
        <v>58927.644</v>
      </c>
      <c r="AS20" s="65">
        <f>('Plant Data'!$C20*0.85*8760)</f>
        <v>58927.644</v>
      </c>
      <c r="AT20" s="65">
        <f>('Plant Data'!$C20*0.85*8760)</f>
        <v>58927.644</v>
      </c>
      <c r="AU20" s="65">
        <f>('Plant Data'!$C20*0.85*8760)</f>
        <v>58927.644</v>
      </c>
    </row>
    <row r="21" spans="1:47" ht="15.75" customHeight="1" x14ac:dyDescent="0.2">
      <c r="A21" s="49" t="str">
        <f>IF('Plant Data'!A21="","",'Plant Data'!A21)</f>
        <v>Dinginin power stationUnit 2</v>
      </c>
      <c r="B21" s="65">
        <f>('Plant Data'!C25*0.85*8760)</f>
        <v>58927.644</v>
      </c>
      <c r="C21" s="65">
        <f>('Plant Data'!$C21*0.85*8760)</f>
        <v>58927.644</v>
      </c>
      <c r="D21" s="65">
        <f>('Plant Data'!$C21*0.85*8760)</f>
        <v>58927.644</v>
      </c>
      <c r="E21" s="65">
        <f>('Plant Data'!$C21*0.85*8760)</f>
        <v>58927.644</v>
      </c>
      <c r="F21" s="65">
        <f>('Plant Data'!$C21*0.85*8760)</f>
        <v>58927.644</v>
      </c>
      <c r="G21" s="65">
        <f>('Plant Data'!$C21*0.85*8760)</f>
        <v>58927.644</v>
      </c>
      <c r="H21" s="65">
        <f>('Plant Data'!$C21*0.85*8760)</f>
        <v>58927.644</v>
      </c>
      <c r="I21" s="65">
        <f>('Plant Data'!$C21*0.85*8760)</f>
        <v>58927.644</v>
      </c>
      <c r="J21" s="65">
        <f>('Plant Data'!$C21*0.85*8760)</f>
        <v>58927.644</v>
      </c>
      <c r="K21" s="65">
        <f>('Plant Data'!$C21*0.85*8760)</f>
        <v>58927.644</v>
      </c>
      <c r="L21" s="65">
        <f>('Plant Data'!$C21*0.85*8760)</f>
        <v>58927.644</v>
      </c>
      <c r="M21" s="65">
        <f>('Plant Data'!$C21*0.85*8760)</f>
        <v>58927.644</v>
      </c>
      <c r="N21" s="65">
        <f>('Plant Data'!$C21*0.85*8760)</f>
        <v>58927.644</v>
      </c>
      <c r="O21" s="65">
        <f>('Plant Data'!$C21*0.85*8760)</f>
        <v>58927.644</v>
      </c>
      <c r="P21" s="65">
        <f>('Plant Data'!$C21*0.85*8760)</f>
        <v>58927.644</v>
      </c>
      <c r="Q21" s="65">
        <f>('Plant Data'!$C21*0.85*8760)</f>
        <v>58927.644</v>
      </c>
      <c r="R21" s="65">
        <f>('Plant Data'!$C21*0.85*8760)</f>
        <v>58927.644</v>
      </c>
      <c r="S21" s="65">
        <f>('Plant Data'!$C21*0.85*8760)</f>
        <v>58927.644</v>
      </c>
      <c r="T21" s="65">
        <f>('Plant Data'!$C21*0.85*8760)</f>
        <v>58927.644</v>
      </c>
      <c r="U21" s="65">
        <f>('Plant Data'!$C21*0.85*8760)</f>
        <v>58927.644</v>
      </c>
      <c r="V21" s="65">
        <f>('Plant Data'!$C21*0.85*8760)</f>
        <v>58927.644</v>
      </c>
      <c r="W21" s="65">
        <f>('Plant Data'!$C21*0.85*8760)</f>
        <v>58927.644</v>
      </c>
      <c r="X21" s="65">
        <f>('Plant Data'!$C21*0.85*8760)</f>
        <v>58927.644</v>
      </c>
      <c r="Y21" s="65">
        <f>('Plant Data'!$C21*0.85*8760)</f>
        <v>58927.644</v>
      </c>
      <c r="Z21" s="65">
        <f>('Plant Data'!$C21*0.85*8760)</f>
        <v>58927.644</v>
      </c>
      <c r="AA21" s="65">
        <f>('Plant Data'!$C21*0.85*8760)</f>
        <v>58927.644</v>
      </c>
      <c r="AB21" s="65">
        <f>('Plant Data'!$C21*0.85*8760)</f>
        <v>58927.644</v>
      </c>
      <c r="AC21" s="65">
        <f>('Plant Data'!$C21*0.85*8760)</f>
        <v>58927.644</v>
      </c>
      <c r="AD21" s="65">
        <f>('Plant Data'!$C21*0.85*8760)</f>
        <v>58927.644</v>
      </c>
      <c r="AE21" s="65">
        <f>('Plant Data'!$C21*0.85*8760)</f>
        <v>58927.644</v>
      </c>
      <c r="AF21" s="65">
        <f>('Plant Data'!$C21*0.85*8760)</f>
        <v>58927.644</v>
      </c>
      <c r="AG21" s="65">
        <f>('Plant Data'!$C21*0.85*8760)</f>
        <v>58927.644</v>
      </c>
      <c r="AH21" s="65">
        <f>('Plant Data'!$C21*0.85*8760)</f>
        <v>58927.644</v>
      </c>
      <c r="AI21" s="65">
        <f>('Plant Data'!$C21*0.85*8760)</f>
        <v>58927.644</v>
      </c>
      <c r="AJ21" s="65">
        <f>('Plant Data'!$C21*0.85*8760)</f>
        <v>58927.644</v>
      </c>
      <c r="AK21" s="65">
        <f>('Plant Data'!$C21*0.85*8760)</f>
        <v>58927.644</v>
      </c>
      <c r="AL21" s="65">
        <f>('Plant Data'!$C21*0.85*8760)</f>
        <v>58927.644</v>
      </c>
      <c r="AM21" s="65">
        <f>('Plant Data'!$C21*0.85*8760)</f>
        <v>58927.644</v>
      </c>
      <c r="AN21" s="65">
        <f>('Plant Data'!$C21*0.85*8760)</f>
        <v>58927.644</v>
      </c>
      <c r="AO21" s="65">
        <f>('Plant Data'!$C21*0.85*8760)</f>
        <v>58927.644</v>
      </c>
      <c r="AP21" s="65">
        <f>('Plant Data'!$C21*0.85*8760)</f>
        <v>58927.644</v>
      </c>
      <c r="AQ21" s="65">
        <f>('Plant Data'!$C21*0.85*8760)</f>
        <v>58927.644</v>
      </c>
      <c r="AR21" s="65">
        <f>('Plant Data'!$C21*0.85*8760)</f>
        <v>58927.644</v>
      </c>
      <c r="AS21" s="65">
        <f>('Plant Data'!$C21*0.85*8760)</f>
        <v>58927.644</v>
      </c>
      <c r="AT21" s="65">
        <f>('Plant Data'!$C21*0.85*8760)</f>
        <v>58927.644</v>
      </c>
      <c r="AU21" s="65">
        <f>('Plant Data'!$C21*0.85*8760)</f>
        <v>58927.644</v>
      </c>
    </row>
    <row r="22" spans="1:47" ht="15.75" customHeight="1" x14ac:dyDescent="0.2">
      <c r="A22" s="49" t="str">
        <f>IF('Plant Data'!A22="","",'Plant Data'!A22)</f>
        <v>Kamanga power stationUnit 1</v>
      </c>
      <c r="B22" s="65">
        <f>('Plant Data'!C26*0.85*8760)</f>
        <v>58927.644</v>
      </c>
      <c r="C22" s="65">
        <f>('Plant Data'!$C22*0.85*8760)</f>
        <v>58927.644</v>
      </c>
      <c r="D22" s="65">
        <f>('Plant Data'!$C22*0.85*8760)</f>
        <v>58927.644</v>
      </c>
      <c r="E22" s="65">
        <f>('Plant Data'!$C22*0.85*8760)</f>
        <v>58927.644</v>
      </c>
      <c r="F22" s="65">
        <f>('Plant Data'!$C22*0.85*8760)</f>
        <v>58927.644</v>
      </c>
      <c r="G22" s="65">
        <f>('Plant Data'!$C22*0.85*8760)</f>
        <v>58927.644</v>
      </c>
      <c r="H22" s="65">
        <f>('Plant Data'!$C22*0.85*8760)</f>
        <v>58927.644</v>
      </c>
      <c r="I22" s="65">
        <f>('Plant Data'!$C22*0.85*8760)</f>
        <v>58927.644</v>
      </c>
      <c r="J22" s="65">
        <f>('Plant Data'!$C22*0.85*8760)</f>
        <v>58927.644</v>
      </c>
      <c r="K22" s="65">
        <f>('Plant Data'!$C22*0.85*8760)</f>
        <v>58927.644</v>
      </c>
      <c r="L22" s="65">
        <f>('Plant Data'!$C22*0.85*8760)</f>
        <v>58927.644</v>
      </c>
      <c r="M22" s="65">
        <f>('Plant Data'!$C22*0.85*8760)</f>
        <v>58927.644</v>
      </c>
      <c r="N22" s="65">
        <f>('Plant Data'!$C22*0.85*8760)</f>
        <v>58927.644</v>
      </c>
      <c r="O22" s="65">
        <f>('Plant Data'!$C22*0.85*8760)</f>
        <v>58927.644</v>
      </c>
      <c r="P22" s="65">
        <f>('Plant Data'!$C22*0.85*8760)</f>
        <v>58927.644</v>
      </c>
      <c r="Q22" s="65">
        <f>('Plant Data'!$C22*0.85*8760)</f>
        <v>58927.644</v>
      </c>
      <c r="R22" s="65">
        <f>('Plant Data'!$C22*0.85*8760)</f>
        <v>58927.644</v>
      </c>
      <c r="S22" s="65">
        <f>('Plant Data'!$C22*0.85*8760)</f>
        <v>58927.644</v>
      </c>
      <c r="T22" s="65">
        <f>('Plant Data'!$C22*0.85*8760)</f>
        <v>58927.644</v>
      </c>
      <c r="U22" s="65">
        <f>('Plant Data'!$C22*0.85*8760)</f>
        <v>58927.644</v>
      </c>
      <c r="V22" s="65">
        <f>('Plant Data'!$C22*0.85*8760)</f>
        <v>58927.644</v>
      </c>
      <c r="W22" s="65">
        <f>('Plant Data'!$C22*0.85*8760)</f>
        <v>58927.644</v>
      </c>
      <c r="X22" s="65">
        <f>('Plant Data'!$C22*0.85*8760)</f>
        <v>58927.644</v>
      </c>
      <c r="Y22" s="65">
        <f>('Plant Data'!$C22*0.85*8760)</f>
        <v>58927.644</v>
      </c>
      <c r="Z22" s="65">
        <f>('Plant Data'!$C22*0.85*8760)</f>
        <v>58927.644</v>
      </c>
      <c r="AA22" s="65">
        <f>('Plant Data'!$C22*0.85*8760)</f>
        <v>58927.644</v>
      </c>
      <c r="AB22" s="65">
        <f>('Plant Data'!$C22*0.85*8760)</f>
        <v>58927.644</v>
      </c>
      <c r="AC22" s="65">
        <f>('Plant Data'!$C22*0.85*8760)</f>
        <v>58927.644</v>
      </c>
      <c r="AD22" s="65">
        <f>('Plant Data'!$C22*0.85*8760)</f>
        <v>58927.644</v>
      </c>
      <c r="AE22" s="65">
        <f>('Plant Data'!$C22*0.85*8760)</f>
        <v>58927.644</v>
      </c>
      <c r="AF22" s="65">
        <f>('Plant Data'!$C22*0.85*8760)</f>
        <v>58927.644</v>
      </c>
      <c r="AG22" s="65">
        <f>('Plant Data'!$C22*0.85*8760)</f>
        <v>58927.644</v>
      </c>
      <c r="AH22" s="65">
        <f>('Plant Data'!$C22*0.85*8760)</f>
        <v>58927.644</v>
      </c>
      <c r="AI22" s="65">
        <f>('Plant Data'!$C22*0.85*8760)</f>
        <v>58927.644</v>
      </c>
      <c r="AJ22" s="65">
        <f>('Plant Data'!$C22*0.85*8760)</f>
        <v>58927.644</v>
      </c>
      <c r="AK22" s="65">
        <f>('Plant Data'!$C22*0.85*8760)</f>
        <v>58927.644</v>
      </c>
      <c r="AL22" s="65">
        <f>('Plant Data'!$C22*0.85*8760)</f>
        <v>58927.644</v>
      </c>
      <c r="AM22" s="65">
        <f>('Plant Data'!$C22*0.85*8760)</f>
        <v>58927.644</v>
      </c>
      <c r="AN22" s="65">
        <f>('Plant Data'!$C22*0.85*8760)</f>
        <v>58927.644</v>
      </c>
      <c r="AO22" s="65">
        <f>('Plant Data'!$C22*0.85*8760)</f>
        <v>58927.644</v>
      </c>
      <c r="AP22" s="65">
        <f>('Plant Data'!$C22*0.85*8760)</f>
        <v>58927.644</v>
      </c>
      <c r="AQ22" s="65">
        <f>('Plant Data'!$C22*0.85*8760)</f>
        <v>58927.644</v>
      </c>
      <c r="AR22" s="65">
        <f>('Plant Data'!$C22*0.85*8760)</f>
        <v>58927.644</v>
      </c>
      <c r="AS22" s="65">
        <f>('Plant Data'!$C22*0.85*8760)</f>
        <v>58927.644</v>
      </c>
      <c r="AT22" s="65">
        <f>('Plant Data'!$C22*0.85*8760)</f>
        <v>58927.644</v>
      </c>
      <c r="AU22" s="65">
        <f>('Plant Data'!$C22*0.85*8760)</f>
        <v>58927.644</v>
      </c>
    </row>
    <row r="23" spans="1:47" ht="15.75" customHeight="1" x14ac:dyDescent="0.2">
      <c r="A23" s="49" t="str">
        <f>IF('Plant Data'!A23="","",'Plant Data'!A23)</f>
        <v>Kamanga power stationUnit 2</v>
      </c>
      <c r="B23" s="65">
        <f>('Plant Data'!C27*0.85*8760)</f>
        <v>58927.644</v>
      </c>
      <c r="C23" s="65">
        <f>('Plant Data'!$C23*0.85*8760)</f>
        <v>58927.644</v>
      </c>
      <c r="D23" s="65">
        <f>('Plant Data'!$C23*0.85*8760)</f>
        <v>58927.644</v>
      </c>
      <c r="E23" s="65">
        <f>('Plant Data'!$C23*0.85*8760)</f>
        <v>58927.644</v>
      </c>
      <c r="F23" s="65">
        <f>('Plant Data'!$C23*0.85*8760)</f>
        <v>58927.644</v>
      </c>
      <c r="G23" s="65">
        <f>('Plant Data'!$C23*0.85*8760)</f>
        <v>58927.644</v>
      </c>
      <c r="H23" s="65">
        <f>('Plant Data'!$C23*0.85*8760)</f>
        <v>58927.644</v>
      </c>
      <c r="I23" s="65">
        <f>('Plant Data'!$C23*0.85*8760)</f>
        <v>58927.644</v>
      </c>
      <c r="J23" s="65">
        <f>('Plant Data'!$C23*0.85*8760)</f>
        <v>58927.644</v>
      </c>
      <c r="K23" s="65">
        <f>('Plant Data'!$C23*0.85*8760)</f>
        <v>58927.644</v>
      </c>
      <c r="L23" s="65">
        <f>('Plant Data'!$C23*0.85*8760)</f>
        <v>58927.644</v>
      </c>
      <c r="M23" s="65">
        <f>('Plant Data'!$C23*0.85*8760)</f>
        <v>58927.644</v>
      </c>
      <c r="N23" s="65">
        <f>('Plant Data'!$C23*0.85*8760)</f>
        <v>58927.644</v>
      </c>
      <c r="O23" s="65">
        <f>('Plant Data'!$C23*0.85*8760)</f>
        <v>58927.644</v>
      </c>
      <c r="P23" s="65">
        <f>('Plant Data'!$C23*0.85*8760)</f>
        <v>58927.644</v>
      </c>
      <c r="Q23" s="65">
        <f>('Plant Data'!$C23*0.85*8760)</f>
        <v>58927.644</v>
      </c>
      <c r="R23" s="65">
        <f>('Plant Data'!$C23*0.85*8760)</f>
        <v>58927.644</v>
      </c>
      <c r="S23" s="65">
        <f>('Plant Data'!$C23*0.85*8760)</f>
        <v>58927.644</v>
      </c>
      <c r="T23" s="65">
        <f>('Plant Data'!$C23*0.85*8760)</f>
        <v>58927.644</v>
      </c>
      <c r="U23" s="65">
        <f>('Plant Data'!$C23*0.85*8760)</f>
        <v>58927.644</v>
      </c>
      <c r="V23" s="65">
        <f>('Plant Data'!$C23*0.85*8760)</f>
        <v>58927.644</v>
      </c>
      <c r="W23" s="65">
        <f>('Plant Data'!$C23*0.85*8760)</f>
        <v>58927.644</v>
      </c>
      <c r="X23" s="65">
        <f>('Plant Data'!$C23*0.85*8760)</f>
        <v>58927.644</v>
      </c>
      <c r="Y23" s="65">
        <f>('Plant Data'!$C23*0.85*8760)</f>
        <v>58927.644</v>
      </c>
      <c r="Z23" s="65">
        <f>('Plant Data'!$C23*0.85*8760)</f>
        <v>58927.644</v>
      </c>
      <c r="AA23" s="65">
        <f>('Plant Data'!$C23*0.85*8760)</f>
        <v>58927.644</v>
      </c>
      <c r="AB23" s="65">
        <f>('Plant Data'!$C23*0.85*8760)</f>
        <v>58927.644</v>
      </c>
      <c r="AC23" s="65">
        <f>('Plant Data'!$C23*0.85*8760)</f>
        <v>58927.644</v>
      </c>
      <c r="AD23" s="65">
        <f>('Plant Data'!$C23*0.85*8760)</f>
        <v>58927.644</v>
      </c>
      <c r="AE23" s="65">
        <f>('Plant Data'!$C23*0.85*8760)</f>
        <v>58927.644</v>
      </c>
      <c r="AF23" s="65">
        <f>('Plant Data'!$C23*0.85*8760)</f>
        <v>58927.644</v>
      </c>
      <c r="AG23" s="65">
        <f>('Plant Data'!$C23*0.85*8760)</f>
        <v>58927.644</v>
      </c>
      <c r="AH23" s="65">
        <f>('Plant Data'!$C23*0.85*8760)</f>
        <v>58927.644</v>
      </c>
      <c r="AI23" s="65">
        <f>('Plant Data'!$C23*0.85*8760)</f>
        <v>58927.644</v>
      </c>
      <c r="AJ23" s="65">
        <f>('Plant Data'!$C23*0.85*8760)</f>
        <v>58927.644</v>
      </c>
      <c r="AK23" s="65">
        <f>('Plant Data'!$C23*0.85*8760)</f>
        <v>58927.644</v>
      </c>
      <c r="AL23" s="65">
        <f>('Plant Data'!$C23*0.85*8760)</f>
        <v>58927.644</v>
      </c>
      <c r="AM23" s="65">
        <f>('Plant Data'!$C23*0.85*8760)</f>
        <v>58927.644</v>
      </c>
      <c r="AN23" s="65">
        <f>('Plant Data'!$C23*0.85*8760)</f>
        <v>58927.644</v>
      </c>
      <c r="AO23" s="65">
        <f>('Plant Data'!$C23*0.85*8760)</f>
        <v>58927.644</v>
      </c>
      <c r="AP23" s="65">
        <f>('Plant Data'!$C23*0.85*8760)</f>
        <v>58927.644</v>
      </c>
      <c r="AQ23" s="65">
        <f>('Plant Data'!$C23*0.85*8760)</f>
        <v>58927.644</v>
      </c>
      <c r="AR23" s="65">
        <f>('Plant Data'!$C23*0.85*8760)</f>
        <v>58927.644</v>
      </c>
      <c r="AS23" s="65">
        <f>('Plant Data'!$C23*0.85*8760)</f>
        <v>58927.644</v>
      </c>
      <c r="AT23" s="65">
        <f>('Plant Data'!$C23*0.85*8760)</f>
        <v>58927.644</v>
      </c>
      <c r="AU23" s="65">
        <f>('Plant Data'!$C23*0.85*8760)</f>
        <v>58927.644</v>
      </c>
    </row>
    <row r="24" spans="1:47" ht="15.75" customHeight="1" x14ac:dyDescent="0.2">
      <c r="A24" s="49" t="str">
        <f>IF('Plant Data'!A24="","",'Plant Data'!A24)</f>
        <v>Lanao Kauswagan power stationUnit 1</v>
      </c>
      <c r="B24" s="65">
        <f>('Plant Data'!C28*0.85*8760)</f>
        <v>58927.644</v>
      </c>
      <c r="C24" s="65">
        <f>('Plant Data'!$C24*0.85*8760)</f>
        <v>58927.644</v>
      </c>
      <c r="D24" s="65">
        <f>('Plant Data'!$C24*0.85*8760)</f>
        <v>58927.644</v>
      </c>
      <c r="E24" s="65">
        <f>('Plant Data'!$C24*0.85*8760)</f>
        <v>58927.644</v>
      </c>
      <c r="F24" s="65">
        <f>('Plant Data'!$C24*0.85*8760)</f>
        <v>58927.644</v>
      </c>
      <c r="G24" s="65">
        <f>('Plant Data'!$C24*0.85*8760)</f>
        <v>58927.644</v>
      </c>
      <c r="H24" s="65">
        <f>('Plant Data'!$C24*0.85*8760)</f>
        <v>58927.644</v>
      </c>
      <c r="I24" s="65">
        <f>('Plant Data'!$C24*0.85*8760)</f>
        <v>58927.644</v>
      </c>
      <c r="J24" s="65">
        <f>('Plant Data'!$C24*0.85*8760)</f>
        <v>58927.644</v>
      </c>
      <c r="K24" s="65">
        <f>('Plant Data'!$C24*0.85*8760)</f>
        <v>58927.644</v>
      </c>
      <c r="L24" s="65">
        <f>('Plant Data'!$C24*0.85*8760)</f>
        <v>58927.644</v>
      </c>
      <c r="M24" s="65">
        <f>('Plant Data'!$C24*0.85*8760)</f>
        <v>58927.644</v>
      </c>
      <c r="N24" s="65">
        <f>('Plant Data'!$C24*0.85*8760)</f>
        <v>58927.644</v>
      </c>
      <c r="O24" s="65">
        <f>('Plant Data'!$C24*0.85*8760)</f>
        <v>58927.644</v>
      </c>
      <c r="P24" s="65">
        <f>('Plant Data'!$C24*0.85*8760)</f>
        <v>58927.644</v>
      </c>
      <c r="Q24" s="65">
        <f>('Plant Data'!$C24*0.85*8760)</f>
        <v>58927.644</v>
      </c>
      <c r="R24" s="65">
        <f>('Plant Data'!$C24*0.85*8760)</f>
        <v>58927.644</v>
      </c>
      <c r="S24" s="65">
        <f>('Plant Data'!$C24*0.85*8760)</f>
        <v>58927.644</v>
      </c>
      <c r="T24" s="65">
        <f>('Plant Data'!$C24*0.85*8760)</f>
        <v>58927.644</v>
      </c>
      <c r="U24" s="65">
        <f>('Plant Data'!$C24*0.85*8760)</f>
        <v>58927.644</v>
      </c>
      <c r="V24" s="65">
        <f>('Plant Data'!$C24*0.85*8760)</f>
        <v>58927.644</v>
      </c>
      <c r="W24" s="65">
        <f>('Plant Data'!$C24*0.85*8760)</f>
        <v>58927.644</v>
      </c>
      <c r="X24" s="65">
        <f>('Plant Data'!$C24*0.85*8760)</f>
        <v>58927.644</v>
      </c>
      <c r="Y24" s="65">
        <f>('Plant Data'!$C24*0.85*8760)</f>
        <v>58927.644</v>
      </c>
      <c r="Z24" s="65">
        <f>('Plant Data'!$C24*0.85*8760)</f>
        <v>58927.644</v>
      </c>
      <c r="AA24" s="65">
        <f>('Plant Data'!$C24*0.85*8760)</f>
        <v>58927.644</v>
      </c>
      <c r="AB24" s="65">
        <f>('Plant Data'!$C24*0.85*8760)</f>
        <v>58927.644</v>
      </c>
      <c r="AC24" s="65">
        <f>('Plant Data'!$C24*0.85*8760)</f>
        <v>58927.644</v>
      </c>
      <c r="AD24" s="65">
        <f>('Plant Data'!$C24*0.85*8760)</f>
        <v>58927.644</v>
      </c>
      <c r="AE24" s="65">
        <f>('Plant Data'!$C24*0.85*8760)</f>
        <v>58927.644</v>
      </c>
      <c r="AF24" s="65">
        <f>('Plant Data'!$C24*0.85*8760)</f>
        <v>58927.644</v>
      </c>
      <c r="AG24" s="65">
        <f>('Plant Data'!$C24*0.85*8760)</f>
        <v>58927.644</v>
      </c>
      <c r="AH24" s="65">
        <f>('Plant Data'!$C24*0.85*8760)</f>
        <v>58927.644</v>
      </c>
      <c r="AI24" s="65">
        <f>('Plant Data'!$C24*0.85*8760)</f>
        <v>58927.644</v>
      </c>
      <c r="AJ24" s="65">
        <f>('Plant Data'!$C24*0.85*8760)</f>
        <v>58927.644</v>
      </c>
      <c r="AK24" s="65">
        <f>('Plant Data'!$C24*0.85*8760)</f>
        <v>58927.644</v>
      </c>
      <c r="AL24" s="65">
        <f>('Plant Data'!$C24*0.85*8760)</f>
        <v>58927.644</v>
      </c>
      <c r="AM24" s="65">
        <f>('Plant Data'!$C24*0.85*8760)</f>
        <v>58927.644</v>
      </c>
      <c r="AN24" s="65">
        <f>('Plant Data'!$C24*0.85*8760)</f>
        <v>58927.644</v>
      </c>
      <c r="AO24" s="65">
        <f>('Plant Data'!$C24*0.85*8760)</f>
        <v>58927.644</v>
      </c>
      <c r="AP24" s="65">
        <f>('Plant Data'!$C24*0.85*8760)</f>
        <v>58927.644</v>
      </c>
      <c r="AQ24" s="65">
        <f>('Plant Data'!$C24*0.85*8760)</f>
        <v>58927.644</v>
      </c>
      <c r="AR24" s="65">
        <f>('Plant Data'!$C24*0.85*8760)</f>
        <v>58927.644</v>
      </c>
      <c r="AS24" s="65">
        <f>('Plant Data'!$C24*0.85*8760)</f>
        <v>58927.644</v>
      </c>
      <c r="AT24" s="65">
        <f>('Plant Data'!$C24*0.85*8760)</f>
        <v>58927.644</v>
      </c>
      <c r="AU24" s="65">
        <f>('Plant Data'!$C24*0.85*8760)</f>
        <v>58927.644</v>
      </c>
    </row>
    <row r="25" spans="1:47" ht="15.75" customHeight="1" x14ac:dyDescent="0.2">
      <c r="A25" s="49" t="str">
        <f>IF('Plant Data'!A25="","",'Plant Data'!A25)</f>
        <v>Lanao Kauswagan power stationUnit 2</v>
      </c>
      <c r="B25" s="65">
        <f>('Plant Data'!C29*0.85*8760)</f>
        <v>58927.644</v>
      </c>
      <c r="C25" s="65">
        <f>('Plant Data'!$C25*0.85*8760)</f>
        <v>58927.644</v>
      </c>
      <c r="D25" s="65">
        <f>('Plant Data'!$C25*0.85*8760)</f>
        <v>58927.644</v>
      </c>
      <c r="E25" s="65">
        <f>('Plant Data'!$C25*0.85*8760)</f>
        <v>58927.644</v>
      </c>
      <c r="F25" s="65">
        <f>('Plant Data'!$C25*0.85*8760)</f>
        <v>58927.644</v>
      </c>
      <c r="G25" s="65">
        <f>('Plant Data'!$C25*0.85*8760)</f>
        <v>58927.644</v>
      </c>
      <c r="H25" s="65">
        <f>('Plant Data'!$C25*0.85*8760)</f>
        <v>58927.644</v>
      </c>
      <c r="I25" s="65">
        <f>('Plant Data'!$C25*0.85*8760)</f>
        <v>58927.644</v>
      </c>
      <c r="J25" s="65">
        <f>('Plant Data'!$C25*0.85*8760)</f>
        <v>58927.644</v>
      </c>
      <c r="K25" s="65">
        <f>('Plant Data'!$C25*0.85*8760)</f>
        <v>58927.644</v>
      </c>
      <c r="L25" s="65">
        <f>('Plant Data'!$C25*0.85*8760)</f>
        <v>58927.644</v>
      </c>
      <c r="M25" s="65">
        <f>('Plant Data'!$C25*0.85*8760)</f>
        <v>58927.644</v>
      </c>
      <c r="N25" s="65">
        <f>('Plant Data'!$C25*0.85*8760)</f>
        <v>58927.644</v>
      </c>
      <c r="O25" s="65">
        <f>('Plant Data'!$C25*0.85*8760)</f>
        <v>58927.644</v>
      </c>
      <c r="P25" s="65">
        <f>('Plant Data'!$C25*0.85*8760)</f>
        <v>58927.644</v>
      </c>
      <c r="Q25" s="65">
        <f>('Plant Data'!$C25*0.85*8760)</f>
        <v>58927.644</v>
      </c>
      <c r="R25" s="65">
        <f>('Plant Data'!$C25*0.85*8760)</f>
        <v>58927.644</v>
      </c>
      <c r="S25" s="65">
        <f>('Plant Data'!$C25*0.85*8760)</f>
        <v>58927.644</v>
      </c>
      <c r="T25" s="65">
        <f>('Plant Data'!$C25*0.85*8760)</f>
        <v>58927.644</v>
      </c>
      <c r="U25" s="65">
        <f>('Plant Data'!$C25*0.85*8760)</f>
        <v>58927.644</v>
      </c>
      <c r="V25" s="65">
        <f>('Plant Data'!$C25*0.85*8760)</f>
        <v>58927.644</v>
      </c>
      <c r="W25" s="65">
        <f>('Plant Data'!$C25*0.85*8760)</f>
        <v>58927.644</v>
      </c>
      <c r="X25" s="65">
        <f>('Plant Data'!$C25*0.85*8760)</f>
        <v>58927.644</v>
      </c>
      <c r="Y25" s="65">
        <f>('Plant Data'!$C25*0.85*8760)</f>
        <v>58927.644</v>
      </c>
      <c r="Z25" s="65">
        <f>('Plant Data'!$C25*0.85*8760)</f>
        <v>58927.644</v>
      </c>
      <c r="AA25" s="65">
        <f>('Plant Data'!$C25*0.85*8760)</f>
        <v>58927.644</v>
      </c>
      <c r="AB25" s="65">
        <f>('Plant Data'!$C25*0.85*8760)</f>
        <v>58927.644</v>
      </c>
      <c r="AC25" s="65">
        <f>('Plant Data'!$C25*0.85*8760)</f>
        <v>58927.644</v>
      </c>
      <c r="AD25" s="65">
        <f>('Plant Data'!$C25*0.85*8760)</f>
        <v>58927.644</v>
      </c>
      <c r="AE25" s="65">
        <f>('Plant Data'!$C25*0.85*8760)</f>
        <v>58927.644</v>
      </c>
      <c r="AF25" s="65">
        <f>('Plant Data'!$C25*0.85*8760)</f>
        <v>58927.644</v>
      </c>
      <c r="AG25" s="65">
        <f>('Plant Data'!$C25*0.85*8760)</f>
        <v>58927.644</v>
      </c>
      <c r="AH25" s="65">
        <f>('Plant Data'!$C25*0.85*8760)</f>
        <v>58927.644</v>
      </c>
      <c r="AI25" s="65">
        <f>('Plant Data'!$C25*0.85*8760)</f>
        <v>58927.644</v>
      </c>
      <c r="AJ25" s="65">
        <f>('Plant Data'!$C25*0.85*8760)</f>
        <v>58927.644</v>
      </c>
      <c r="AK25" s="65">
        <f>('Plant Data'!$C25*0.85*8760)</f>
        <v>58927.644</v>
      </c>
      <c r="AL25" s="65">
        <f>('Plant Data'!$C25*0.85*8760)</f>
        <v>58927.644</v>
      </c>
      <c r="AM25" s="65">
        <f>('Plant Data'!$C25*0.85*8760)</f>
        <v>58927.644</v>
      </c>
      <c r="AN25" s="65">
        <f>('Plant Data'!$C25*0.85*8760)</f>
        <v>58927.644</v>
      </c>
      <c r="AO25" s="65">
        <f>('Plant Data'!$C25*0.85*8760)</f>
        <v>58927.644</v>
      </c>
      <c r="AP25" s="65">
        <f>('Plant Data'!$C25*0.85*8760)</f>
        <v>58927.644</v>
      </c>
      <c r="AQ25" s="65">
        <f>('Plant Data'!$C25*0.85*8760)</f>
        <v>58927.644</v>
      </c>
      <c r="AR25" s="65">
        <f>('Plant Data'!$C25*0.85*8760)</f>
        <v>58927.644</v>
      </c>
      <c r="AS25" s="65">
        <f>('Plant Data'!$C25*0.85*8760)</f>
        <v>58927.644</v>
      </c>
      <c r="AT25" s="65">
        <f>('Plant Data'!$C25*0.85*8760)</f>
        <v>58927.644</v>
      </c>
      <c r="AU25" s="65">
        <f>('Plant Data'!$C25*0.85*8760)</f>
        <v>58927.644</v>
      </c>
    </row>
    <row r="26" spans="1:47" ht="15.75" customHeight="1" x14ac:dyDescent="0.2">
      <c r="A26" s="49" t="str">
        <f>IF('Plant Data'!A26="","",'Plant Data'!A26)</f>
        <v>Lanao Kauswagan power stationUnit 3</v>
      </c>
      <c r="B26" s="65">
        <f>('Plant Data'!C30*0.85*8760)</f>
        <v>58927.644</v>
      </c>
      <c r="C26" s="65">
        <f>('Plant Data'!$C26*0.85*8760)</f>
        <v>58927.644</v>
      </c>
      <c r="D26" s="65">
        <f>('Plant Data'!$C26*0.85*8760)</f>
        <v>58927.644</v>
      </c>
      <c r="E26" s="65">
        <f>('Plant Data'!$C26*0.85*8760)</f>
        <v>58927.644</v>
      </c>
      <c r="F26" s="65">
        <f>('Plant Data'!$C26*0.85*8760)</f>
        <v>58927.644</v>
      </c>
      <c r="G26" s="65">
        <f>('Plant Data'!$C26*0.85*8760)</f>
        <v>58927.644</v>
      </c>
      <c r="H26" s="65">
        <f>('Plant Data'!$C26*0.85*8760)</f>
        <v>58927.644</v>
      </c>
      <c r="I26" s="65">
        <f>('Plant Data'!$C26*0.85*8760)</f>
        <v>58927.644</v>
      </c>
      <c r="J26" s="65">
        <f>('Plant Data'!$C26*0.85*8760)</f>
        <v>58927.644</v>
      </c>
      <c r="K26" s="65">
        <f>('Plant Data'!$C26*0.85*8760)</f>
        <v>58927.644</v>
      </c>
      <c r="L26" s="65">
        <f>('Plant Data'!$C26*0.85*8760)</f>
        <v>58927.644</v>
      </c>
      <c r="M26" s="65">
        <f>('Plant Data'!$C26*0.85*8760)</f>
        <v>58927.644</v>
      </c>
      <c r="N26" s="65">
        <f>('Plant Data'!$C26*0.85*8760)</f>
        <v>58927.644</v>
      </c>
      <c r="O26" s="65">
        <f>('Plant Data'!$C26*0.85*8760)</f>
        <v>58927.644</v>
      </c>
      <c r="P26" s="65">
        <f>('Plant Data'!$C26*0.85*8760)</f>
        <v>58927.644</v>
      </c>
      <c r="Q26" s="65">
        <f>('Plant Data'!$C26*0.85*8760)</f>
        <v>58927.644</v>
      </c>
      <c r="R26" s="65">
        <f>('Plant Data'!$C26*0.85*8760)</f>
        <v>58927.644</v>
      </c>
      <c r="S26" s="65">
        <f>('Plant Data'!$C26*0.85*8760)</f>
        <v>58927.644</v>
      </c>
      <c r="T26" s="65">
        <f>('Plant Data'!$C26*0.85*8760)</f>
        <v>58927.644</v>
      </c>
      <c r="U26" s="65">
        <f>('Plant Data'!$C26*0.85*8760)</f>
        <v>58927.644</v>
      </c>
      <c r="V26" s="65">
        <f>('Plant Data'!$C26*0.85*8760)</f>
        <v>58927.644</v>
      </c>
      <c r="W26" s="65">
        <f>('Plant Data'!$C26*0.85*8760)</f>
        <v>58927.644</v>
      </c>
      <c r="X26" s="65">
        <f>('Plant Data'!$C26*0.85*8760)</f>
        <v>58927.644</v>
      </c>
      <c r="Y26" s="65">
        <f>('Plant Data'!$C26*0.85*8760)</f>
        <v>58927.644</v>
      </c>
      <c r="Z26" s="65">
        <f>('Plant Data'!$C26*0.85*8760)</f>
        <v>58927.644</v>
      </c>
      <c r="AA26" s="65">
        <f>('Plant Data'!$C26*0.85*8760)</f>
        <v>58927.644</v>
      </c>
      <c r="AB26" s="65">
        <f>('Plant Data'!$C26*0.85*8760)</f>
        <v>58927.644</v>
      </c>
      <c r="AC26" s="65">
        <f>('Plant Data'!$C26*0.85*8760)</f>
        <v>58927.644</v>
      </c>
      <c r="AD26" s="65">
        <f>('Plant Data'!$C26*0.85*8760)</f>
        <v>58927.644</v>
      </c>
      <c r="AE26" s="65">
        <f>('Plant Data'!$C26*0.85*8760)</f>
        <v>58927.644</v>
      </c>
      <c r="AF26" s="65">
        <f>('Plant Data'!$C26*0.85*8760)</f>
        <v>58927.644</v>
      </c>
      <c r="AG26" s="65">
        <f>('Plant Data'!$C26*0.85*8760)</f>
        <v>58927.644</v>
      </c>
      <c r="AH26" s="65">
        <f>('Plant Data'!$C26*0.85*8760)</f>
        <v>58927.644</v>
      </c>
      <c r="AI26" s="65">
        <f>('Plant Data'!$C26*0.85*8760)</f>
        <v>58927.644</v>
      </c>
      <c r="AJ26" s="65">
        <f>('Plant Data'!$C26*0.85*8760)</f>
        <v>58927.644</v>
      </c>
      <c r="AK26" s="65">
        <f>('Plant Data'!$C26*0.85*8760)</f>
        <v>58927.644</v>
      </c>
      <c r="AL26" s="65">
        <f>('Plant Data'!$C26*0.85*8760)</f>
        <v>58927.644</v>
      </c>
      <c r="AM26" s="65">
        <f>('Plant Data'!$C26*0.85*8760)</f>
        <v>58927.644</v>
      </c>
      <c r="AN26" s="65">
        <f>('Plant Data'!$C26*0.85*8760)</f>
        <v>58927.644</v>
      </c>
      <c r="AO26" s="65">
        <f>('Plant Data'!$C26*0.85*8760)</f>
        <v>58927.644</v>
      </c>
      <c r="AP26" s="65">
        <f>('Plant Data'!$C26*0.85*8760)</f>
        <v>58927.644</v>
      </c>
      <c r="AQ26" s="65">
        <f>('Plant Data'!$C26*0.85*8760)</f>
        <v>58927.644</v>
      </c>
      <c r="AR26" s="65">
        <f>('Plant Data'!$C26*0.85*8760)</f>
        <v>58927.644</v>
      </c>
      <c r="AS26" s="65">
        <f>('Plant Data'!$C26*0.85*8760)</f>
        <v>58927.644</v>
      </c>
      <c r="AT26" s="65">
        <f>('Plant Data'!$C26*0.85*8760)</f>
        <v>58927.644</v>
      </c>
      <c r="AU26" s="65">
        <f>('Plant Data'!$C26*0.85*8760)</f>
        <v>58927.644</v>
      </c>
    </row>
    <row r="27" spans="1:47" ht="15.75" customHeight="1" x14ac:dyDescent="0.2">
      <c r="A27" s="49" t="str">
        <f>IF('Plant Data'!A27="","",'Plant Data'!A27)</f>
        <v>Lanao Kauswagan power stationUnit 4</v>
      </c>
      <c r="B27" s="65">
        <f>('Plant Data'!C31*0.85*8760)</f>
        <v>58927.644</v>
      </c>
      <c r="C27" s="65">
        <f>('Plant Data'!$C27*0.85*8760)</f>
        <v>58927.644</v>
      </c>
      <c r="D27" s="65">
        <f>('Plant Data'!$C27*0.85*8760)</f>
        <v>58927.644</v>
      </c>
      <c r="E27" s="65">
        <f>('Plant Data'!$C27*0.85*8760)</f>
        <v>58927.644</v>
      </c>
      <c r="F27" s="65">
        <f>('Plant Data'!$C27*0.85*8760)</f>
        <v>58927.644</v>
      </c>
      <c r="G27" s="65">
        <f>('Plant Data'!$C27*0.85*8760)</f>
        <v>58927.644</v>
      </c>
      <c r="H27" s="65">
        <f>('Plant Data'!$C27*0.85*8760)</f>
        <v>58927.644</v>
      </c>
      <c r="I27" s="65">
        <f>('Plant Data'!$C27*0.85*8760)</f>
        <v>58927.644</v>
      </c>
      <c r="J27" s="65">
        <f>('Plant Data'!$C27*0.85*8760)</f>
        <v>58927.644</v>
      </c>
      <c r="K27" s="65">
        <f>('Plant Data'!$C27*0.85*8760)</f>
        <v>58927.644</v>
      </c>
      <c r="L27" s="65">
        <f>('Plant Data'!$C27*0.85*8760)</f>
        <v>58927.644</v>
      </c>
      <c r="M27" s="65">
        <f>('Plant Data'!$C27*0.85*8760)</f>
        <v>58927.644</v>
      </c>
      <c r="N27" s="65">
        <f>('Plant Data'!$C27*0.85*8760)</f>
        <v>58927.644</v>
      </c>
      <c r="O27" s="65">
        <f>('Plant Data'!$C27*0.85*8760)</f>
        <v>58927.644</v>
      </c>
      <c r="P27" s="65">
        <f>('Plant Data'!$C27*0.85*8760)</f>
        <v>58927.644</v>
      </c>
      <c r="Q27" s="65">
        <f>('Plant Data'!$C27*0.85*8760)</f>
        <v>58927.644</v>
      </c>
      <c r="R27" s="65">
        <f>('Plant Data'!$C27*0.85*8760)</f>
        <v>58927.644</v>
      </c>
      <c r="S27" s="65">
        <f>('Plant Data'!$C27*0.85*8760)</f>
        <v>58927.644</v>
      </c>
      <c r="T27" s="65">
        <f>('Plant Data'!$C27*0.85*8760)</f>
        <v>58927.644</v>
      </c>
      <c r="U27" s="65">
        <f>('Plant Data'!$C27*0.85*8760)</f>
        <v>58927.644</v>
      </c>
      <c r="V27" s="65">
        <f>('Plant Data'!$C27*0.85*8760)</f>
        <v>58927.644</v>
      </c>
      <c r="W27" s="65">
        <f>('Plant Data'!$C27*0.85*8760)</f>
        <v>58927.644</v>
      </c>
      <c r="X27" s="65">
        <f>('Plant Data'!$C27*0.85*8760)</f>
        <v>58927.644</v>
      </c>
      <c r="Y27" s="65">
        <f>('Plant Data'!$C27*0.85*8760)</f>
        <v>58927.644</v>
      </c>
      <c r="Z27" s="65">
        <f>('Plant Data'!$C27*0.85*8760)</f>
        <v>58927.644</v>
      </c>
      <c r="AA27" s="65">
        <f>('Plant Data'!$C27*0.85*8760)</f>
        <v>58927.644</v>
      </c>
      <c r="AB27" s="65">
        <f>('Plant Data'!$C27*0.85*8760)</f>
        <v>58927.644</v>
      </c>
      <c r="AC27" s="65">
        <f>('Plant Data'!$C27*0.85*8760)</f>
        <v>58927.644</v>
      </c>
      <c r="AD27" s="65">
        <f>('Plant Data'!$C27*0.85*8760)</f>
        <v>58927.644</v>
      </c>
      <c r="AE27" s="65">
        <f>('Plant Data'!$C27*0.85*8760)</f>
        <v>58927.644</v>
      </c>
      <c r="AF27" s="65">
        <f>('Plant Data'!$C27*0.85*8760)</f>
        <v>58927.644</v>
      </c>
      <c r="AG27" s="65">
        <f>('Plant Data'!$C27*0.85*8760)</f>
        <v>58927.644</v>
      </c>
      <c r="AH27" s="65">
        <f>('Plant Data'!$C27*0.85*8760)</f>
        <v>58927.644</v>
      </c>
      <c r="AI27" s="65">
        <f>('Plant Data'!$C27*0.85*8760)</f>
        <v>58927.644</v>
      </c>
      <c r="AJ27" s="65">
        <f>('Plant Data'!$C27*0.85*8760)</f>
        <v>58927.644</v>
      </c>
      <c r="AK27" s="65">
        <f>('Plant Data'!$C27*0.85*8760)</f>
        <v>58927.644</v>
      </c>
      <c r="AL27" s="65">
        <f>('Plant Data'!$C27*0.85*8760)</f>
        <v>58927.644</v>
      </c>
      <c r="AM27" s="65">
        <f>('Plant Data'!$C27*0.85*8760)</f>
        <v>58927.644</v>
      </c>
      <c r="AN27" s="65">
        <f>('Plant Data'!$C27*0.85*8760)</f>
        <v>58927.644</v>
      </c>
      <c r="AO27" s="65">
        <f>('Plant Data'!$C27*0.85*8760)</f>
        <v>58927.644</v>
      </c>
      <c r="AP27" s="65">
        <f>('Plant Data'!$C27*0.85*8760)</f>
        <v>58927.644</v>
      </c>
      <c r="AQ27" s="65">
        <f>('Plant Data'!$C27*0.85*8760)</f>
        <v>58927.644</v>
      </c>
      <c r="AR27" s="65">
        <f>('Plant Data'!$C27*0.85*8760)</f>
        <v>58927.644</v>
      </c>
      <c r="AS27" s="65">
        <f>('Plant Data'!$C27*0.85*8760)</f>
        <v>58927.644</v>
      </c>
      <c r="AT27" s="65">
        <f>('Plant Data'!$C27*0.85*8760)</f>
        <v>58927.644</v>
      </c>
      <c r="AU27" s="65">
        <f>('Plant Data'!$C27*0.85*8760)</f>
        <v>58927.644</v>
      </c>
    </row>
    <row r="28" spans="1:47" ht="15.75" customHeight="1" x14ac:dyDescent="0.2">
      <c r="A28" s="49" t="str">
        <f>IF('Plant Data'!A28="","",'Plant Data'!A28)</f>
        <v>Limay power stationUnit 1</v>
      </c>
      <c r="B28" s="65">
        <f>('Plant Data'!C32*0.85*8760)</f>
        <v>58927.644</v>
      </c>
      <c r="C28" s="65">
        <f>('Plant Data'!$C28*0.85*8760)</f>
        <v>58927.644</v>
      </c>
      <c r="D28" s="65">
        <f>('Plant Data'!$C28*0.85*8760)</f>
        <v>58927.644</v>
      </c>
      <c r="E28" s="65">
        <f>('Plant Data'!$C28*0.85*8760)</f>
        <v>58927.644</v>
      </c>
      <c r="F28" s="65">
        <f>('Plant Data'!$C28*0.85*8760)</f>
        <v>58927.644</v>
      </c>
      <c r="G28" s="65">
        <f>('Plant Data'!$C28*0.85*8760)</f>
        <v>58927.644</v>
      </c>
      <c r="H28" s="65">
        <f>('Plant Data'!$C28*0.85*8760)</f>
        <v>58927.644</v>
      </c>
      <c r="I28" s="65">
        <f>('Plant Data'!$C28*0.85*8760)</f>
        <v>58927.644</v>
      </c>
      <c r="J28" s="65">
        <f>('Plant Data'!$C28*0.85*8760)</f>
        <v>58927.644</v>
      </c>
      <c r="K28" s="65">
        <f>('Plant Data'!$C28*0.85*8760)</f>
        <v>58927.644</v>
      </c>
      <c r="L28" s="65">
        <f>('Plant Data'!$C28*0.85*8760)</f>
        <v>58927.644</v>
      </c>
      <c r="M28" s="65">
        <f>('Plant Data'!$C28*0.85*8760)</f>
        <v>58927.644</v>
      </c>
      <c r="N28" s="65">
        <f>('Plant Data'!$C28*0.85*8760)</f>
        <v>58927.644</v>
      </c>
      <c r="O28" s="65">
        <f>('Plant Data'!$C28*0.85*8760)</f>
        <v>58927.644</v>
      </c>
      <c r="P28" s="65">
        <f>('Plant Data'!$C28*0.85*8760)</f>
        <v>58927.644</v>
      </c>
      <c r="Q28" s="65">
        <f>('Plant Data'!$C28*0.85*8760)</f>
        <v>58927.644</v>
      </c>
      <c r="R28" s="65">
        <f>('Plant Data'!$C28*0.85*8760)</f>
        <v>58927.644</v>
      </c>
      <c r="S28" s="65">
        <f>('Plant Data'!$C28*0.85*8760)</f>
        <v>58927.644</v>
      </c>
      <c r="T28" s="65">
        <f>('Plant Data'!$C28*0.85*8760)</f>
        <v>58927.644</v>
      </c>
      <c r="U28" s="65">
        <f>('Plant Data'!$C28*0.85*8760)</f>
        <v>58927.644</v>
      </c>
      <c r="V28" s="65">
        <f>('Plant Data'!$C28*0.85*8760)</f>
        <v>58927.644</v>
      </c>
      <c r="W28" s="65">
        <f>('Plant Data'!$C28*0.85*8760)</f>
        <v>58927.644</v>
      </c>
      <c r="X28" s="65">
        <f>('Plant Data'!$C28*0.85*8760)</f>
        <v>58927.644</v>
      </c>
      <c r="Y28" s="65">
        <f>('Plant Data'!$C28*0.85*8760)</f>
        <v>58927.644</v>
      </c>
      <c r="Z28" s="65">
        <f>('Plant Data'!$C28*0.85*8760)</f>
        <v>58927.644</v>
      </c>
      <c r="AA28" s="65">
        <f>('Plant Data'!$C28*0.85*8760)</f>
        <v>58927.644</v>
      </c>
      <c r="AB28" s="65">
        <f>('Plant Data'!$C28*0.85*8760)</f>
        <v>58927.644</v>
      </c>
      <c r="AC28" s="65">
        <f>('Plant Data'!$C28*0.85*8760)</f>
        <v>58927.644</v>
      </c>
      <c r="AD28" s="65">
        <f>('Plant Data'!$C28*0.85*8760)</f>
        <v>58927.644</v>
      </c>
      <c r="AE28" s="65">
        <f>('Plant Data'!$C28*0.85*8760)</f>
        <v>58927.644</v>
      </c>
      <c r="AF28" s="65">
        <f>('Plant Data'!$C28*0.85*8760)</f>
        <v>58927.644</v>
      </c>
      <c r="AG28" s="65">
        <f>('Plant Data'!$C28*0.85*8760)</f>
        <v>58927.644</v>
      </c>
      <c r="AH28" s="65">
        <f>('Plant Data'!$C28*0.85*8760)</f>
        <v>58927.644</v>
      </c>
      <c r="AI28" s="65">
        <f>('Plant Data'!$C28*0.85*8760)</f>
        <v>58927.644</v>
      </c>
      <c r="AJ28" s="65">
        <f>('Plant Data'!$C28*0.85*8760)</f>
        <v>58927.644</v>
      </c>
      <c r="AK28" s="65">
        <f>('Plant Data'!$C28*0.85*8760)</f>
        <v>58927.644</v>
      </c>
      <c r="AL28" s="65">
        <f>('Plant Data'!$C28*0.85*8760)</f>
        <v>58927.644</v>
      </c>
      <c r="AM28" s="65">
        <f>('Plant Data'!$C28*0.85*8760)</f>
        <v>58927.644</v>
      </c>
      <c r="AN28" s="65">
        <f>('Plant Data'!$C28*0.85*8760)</f>
        <v>58927.644</v>
      </c>
      <c r="AO28" s="65">
        <f>('Plant Data'!$C28*0.85*8760)</f>
        <v>58927.644</v>
      </c>
      <c r="AP28" s="65">
        <f>('Plant Data'!$C28*0.85*8760)</f>
        <v>58927.644</v>
      </c>
      <c r="AQ28" s="65">
        <f>('Plant Data'!$C28*0.85*8760)</f>
        <v>58927.644</v>
      </c>
      <c r="AR28" s="65">
        <f>('Plant Data'!$C28*0.85*8760)</f>
        <v>58927.644</v>
      </c>
      <c r="AS28" s="65">
        <f>('Plant Data'!$C28*0.85*8760)</f>
        <v>58927.644</v>
      </c>
      <c r="AT28" s="65">
        <f>('Plant Data'!$C28*0.85*8760)</f>
        <v>58927.644</v>
      </c>
      <c r="AU28" s="65">
        <f>('Plant Data'!$C28*0.85*8760)</f>
        <v>58927.644</v>
      </c>
    </row>
    <row r="29" spans="1:47" ht="15.75" customHeight="1" x14ac:dyDescent="0.2">
      <c r="A29" s="49" t="str">
        <f>IF('Plant Data'!A29="","",'Plant Data'!A29)</f>
        <v>Limay power stationUnit 2</v>
      </c>
      <c r="B29" s="65">
        <f>('Plant Data'!C33*0.85*8760)</f>
        <v>58927.644</v>
      </c>
      <c r="C29" s="65">
        <f>('Plant Data'!$C29*0.85*8760)</f>
        <v>58927.644</v>
      </c>
      <c r="D29" s="65">
        <f>('Plant Data'!$C29*0.85*8760)</f>
        <v>58927.644</v>
      </c>
      <c r="E29" s="65">
        <f>('Plant Data'!$C29*0.85*8760)</f>
        <v>58927.644</v>
      </c>
      <c r="F29" s="65">
        <f>('Plant Data'!$C29*0.85*8760)</f>
        <v>58927.644</v>
      </c>
      <c r="G29" s="65">
        <f>('Plant Data'!$C29*0.85*8760)</f>
        <v>58927.644</v>
      </c>
      <c r="H29" s="65">
        <f>('Plant Data'!$C29*0.85*8760)</f>
        <v>58927.644</v>
      </c>
      <c r="I29" s="65">
        <f>('Plant Data'!$C29*0.85*8760)</f>
        <v>58927.644</v>
      </c>
      <c r="J29" s="65">
        <f>('Plant Data'!$C29*0.85*8760)</f>
        <v>58927.644</v>
      </c>
      <c r="K29" s="65">
        <f>('Plant Data'!$C29*0.85*8760)</f>
        <v>58927.644</v>
      </c>
      <c r="L29" s="65">
        <f>('Plant Data'!$C29*0.85*8760)</f>
        <v>58927.644</v>
      </c>
      <c r="M29" s="65">
        <f>('Plant Data'!$C29*0.85*8760)</f>
        <v>58927.644</v>
      </c>
      <c r="N29" s="65">
        <f>('Plant Data'!$C29*0.85*8760)</f>
        <v>58927.644</v>
      </c>
      <c r="O29" s="65">
        <f>('Plant Data'!$C29*0.85*8760)</f>
        <v>58927.644</v>
      </c>
      <c r="P29" s="65">
        <f>('Plant Data'!$C29*0.85*8760)</f>
        <v>58927.644</v>
      </c>
      <c r="Q29" s="65">
        <f>('Plant Data'!$C29*0.85*8760)</f>
        <v>58927.644</v>
      </c>
      <c r="R29" s="65">
        <f>('Plant Data'!$C29*0.85*8760)</f>
        <v>58927.644</v>
      </c>
      <c r="S29" s="65">
        <f>('Plant Data'!$C29*0.85*8760)</f>
        <v>58927.644</v>
      </c>
      <c r="T29" s="65">
        <f>('Plant Data'!$C29*0.85*8760)</f>
        <v>58927.644</v>
      </c>
      <c r="U29" s="65">
        <f>('Plant Data'!$C29*0.85*8760)</f>
        <v>58927.644</v>
      </c>
      <c r="V29" s="65">
        <f>('Plant Data'!$C29*0.85*8760)</f>
        <v>58927.644</v>
      </c>
      <c r="W29" s="65">
        <f>('Plant Data'!$C29*0.85*8760)</f>
        <v>58927.644</v>
      </c>
      <c r="X29" s="65">
        <f>('Plant Data'!$C29*0.85*8760)</f>
        <v>58927.644</v>
      </c>
      <c r="Y29" s="65">
        <f>('Plant Data'!$C29*0.85*8760)</f>
        <v>58927.644</v>
      </c>
      <c r="Z29" s="65">
        <f>('Plant Data'!$C29*0.85*8760)</f>
        <v>58927.644</v>
      </c>
      <c r="AA29" s="65">
        <f>('Plant Data'!$C29*0.85*8760)</f>
        <v>58927.644</v>
      </c>
      <c r="AB29" s="65">
        <f>('Plant Data'!$C29*0.85*8760)</f>
        <v>58927.644</v>
      </c>
      <c r="AC29" s="65">
        <f>('Plant Data'!$C29*0.85*8760)</f>
        <v>58927.644</v>
      </c>
      <c r="AD29" s="65">
        <f>('Plant Data'!$C29*0.85*8760)</f>
        <v>58927.644</v>
      </c>
      <c r="AE29" s="65">
        <f>('Plant Data'!$C29*0.85*8760)</f>
        <v>58927.644</v>
      </c>
      <c r="AF29" s="65">
        <f>('Plant Data'!$C29*0.85*8760)</f>
        <v>58927.644</v>
      </c>
      <c r="AG29" s="65">
        <f>('Plant Data'!$C29*0.85*8760)</f>
        <v>58927.644</v>
      </c>
      <c r="AH29" s="65">
        <f>('Plant Data'!$C29*0.85*8760)</f>
        <v>58927.644</v>
      </c>
      <c r="AI29" s="65">
        <f>('Plant Data'!$C29*0.85*8760)</f>
        <v>58927.644</v>
      </c>
      <c r="AJ29" s="65">
        <f>('Plant Data'!$C29*0.85*8760)</f>
        <v>58927.644</v>
      </c>
      <c r="AK29" s="65">
        <f>('Plant Data'!$C29*0.85*8760)</f>
        <v>58927.644</v>
      </c>
      <c r="AL29" s="65">
        <f>('Plant Data'!$C29*0.85*8760)</f>
        <v>58927.644</v>
      </c>
      <c r="AM29" s="65">
        <f>('Plant Data'!$C29*0.85*8760)</f>
        <v>58927.644</v>
      </c>
      <c r="AN29" s="65">
        <f>('Plant Data'!$C29*0.85*8760)</f>
        <v>58927.644</v>
      </c>
      <c r="AO29" s="65">
        <f>('Plant Data'!$C29*0.85*8760)</f>
        <v>58927.644</v>
      </c>
      <c r="AP29" s="65">
        <f>('Plant Data'!$C29*0.85*8760)</f>
        <v>58927.644</v>
      </c>
      <c r="AQ29" s="65">
        <f>('Plant Data'!$C29*0.85*8760)</f>
        <v>58927.644</v>
      </c>
      <c r="AR29" s="65">
        <f>('Plant Data'!$C29*0.85*8760)</f>
        <v>58927.644</v>
      </c>
      <c r="AS29" s="65">
        <f>('Plant Data'!$C29*0.85*8760)</f>
        <v>58927.644</v>
      </c>
      <c r="AT29" s="65">
        <f>('Plant Data'!$C29*0.85*8760)</f>
        <v>58927.644</v>
      </c>
      <c r="AU29" s="65">
        <f>('Plant Data'!$C29*0.85*8760)</f>
        <v>58927.644</v>
      </c>
    </row>
    <row r="30" spans="1:47" ht="15.75" customHeight="1" x14ac:dyDescent="0.2">
      <c r="A30" s="49" t="str">
        <f>IF('Plant Data'!A30="","",'Plant Data'!A30)</f>
        <v>Limay power stationUnit 3</v>
      </c>
      <c r="B30" s="65">
        <f>('Plant Data'!C34*0.85*8760)</f>
        <v>58927.644</v>
      </c>
      <c r="C30" s="65">
        <f>('Plant Data'!$C30*0.85*8760)</f>
        <v>58927.644</v>
      </c>
      <c r="D30" s="65">
        <f>('Plant Data'!$C30*0.85*8760)</f>
        <v>58927.644</v>
      </c>
      <c r="E30" s="65">
        <f>('Plant Data'!$C30*0.85*8760)</f>
        <v>58927.644</v>
      </c>
      <c r="F30" s="65">
        <f>('Plant Data'!$C30*0.85*8760)</f>
        <v>58927.644</v>
      </c>
      <c r="G30" s="65">
        <f>('Plant Data'!$C30*0.85*8760)</f>
        <v>58927.644</v>
      </c>
      <c r="H30" s="65">
        <f>('Plant Data'!$C30*0.85*8760)</f>
        <v>58927.644</v>
      </c>
      <c r="I30" s="65">
        <f>('Plant Data'!$C30*0.85*8760)</f>
        <v>58927.644</v>
      </c>
      <c r="J30" s="65">
        <f>('Plant Data'!$C30*0.85*8760)</f>
        <v>58927.644</v>
      </c>
      <c r="K30" s="65">
        <f>('Plant Data'!$C30*0.85*8760)</f>
        <v>58927.644</v>
      </c>
      <c r="L30" s="65">
        <f>('Plant Data'!$C30*0.85*8760)</f>
        <v>58927.644</v>
      </c>
      <c r="M30" s="65">
        <f>('Plant Data'!$C30*0.85*8760)</f>
        <v>58927.644</v>
      </c>
      <c r="N30" s="65">
        <f>('Plant Data'!$C30*0.85*8760)</f>
        <v>58927.644</v>
      </c>
      <c r="O30" s="65">
        <f>('Plant Data'!$C30*0.85*8760)</f>
        <v>58927.644</v>
      </c>
      <c r="P30" s="65">
        <f>('Plant Data'!$C30*0.85*8760)</f>
        <v>58927.644</v>
      </c>
      <c r="Q30" s="65">
        <f>('Plant Data'!$C30*0.85*8760)</f>
        <v>58927.644</v>
      </c>
      <c r="R30" s="65">
        <f>('Plant Data'!$C30*0.85*8760)</f>
        <v>58927.644</v>
      </c>
      <c r="S30" s="65">
        <f>('Plant Data'!$C30*0.85*8760)</f>
        <v>58927.644</v>
      </c>
      <c r="T30" s="65">
        <f>('Plant Data'!$C30*0.85*8760)</f>
        <v>58927.644</v>
      </c>
      <c r="U30" s="65">
        <f>('Plant Data'!$C30*0.85*8760)</f>
        <v>58927.644</v>
      </c>
      <c r="V30" s="65">
        <f>('Plant Data'!$C30*0.85*8760)</f>
        <v>58927.644</v>
      </c>
      <c r="W30" s="65">
        <f>('Plant Data'!$C30*0.85*8760)</f>
        <v>58927.644</v>
      </c>
      <c r="X30" s="65">
        <f>('Plant Data'!$C30*0.85*8760)</f>
        <v>58927.644</v>
      </c>
      <c r="Y30" s="65">
        <f>('Plant Data'!$C30*0.85*8760)</f>
        <v>58927.644</v>
      </c>
      <c r="Z30" s="65">
        <f>('Plant Data'!$C30*0.85*8760)</f>
        <v>58927.644</v>
      </c>
      <c r="AA30" s="65">
        <f>('Plant Data'!$C30*0.85*8760)</f>
        <v>58927.644</v>
      </c>
      <c r="AB30" s="65">
        <f>('Plant Data'!$C30*0.85*8760)</f>
        <v>58927.644</v>
      </c>
      <c r="AC30" s="65">
        <f>('Plant Data'!$C30*0.85*8760)</f>
        <v>58927.644</v>
      </c>
      <c r="AD30" s="65">
        <f>('Plant Data'!$C30*0.85*8760)</f>
        <v>58927.644</v>
      </c>
      <c r="AE30" s="65">
        <f>('Plant Data'!$C30*0.85*8760)</f>
        <v>58927.644</v>
      </c>
      <c r="AF30" s="65">
        <f>('Plant Data'!$C30*0.85*8760)</f>
        <v>58927.644</v>
      </c>
      <c r="AG30" s="65">
        <f>('Plant Data'!$C30*0.85*8760)</f>
        <v>58927.644</v>
      </c>
      <c r="AH30" s="65">
        <f>('Plant Data'!$C30*0.85*8760)</f>
        <v>58927.644</v>
      </c>
      <c r="AI30" s="65">
        <f>('Plant Data'!$C30*0.85*8760)</f>
        <v>58927.644</v>
      </c>
      <c r="AJ30" s="65">
        <f>('Plant Data'!$C30*0.85*8760)</f>
        <v>58927.644</v>
      </c>
      <c r="AK30" s="65">
        <f>('Plant Data'!$C30*0.85*8760)</f>
        <v>58927.644</v>
      </c>
      <c r="AL30" s="65">
        <f>('Plant Data'!$C30*0.85*8760)</f>
        <v>58927.644</v>
      </c>
      <c r="AM30" s="65">
        <f>('Plant Data'!$C30*0.85*8760)</f>
        <v>58927.644</v>
      </c>
      <c r="AN30" s="65">
        <f>('Plant Data'!$C30*0.85*8760)</f>
        <v>58927.644</v>
      </c>
      <c r="AO30" s="65">
        <f>('Plant Data'!$C30*0.85*8760)</f>
        <v>58927.644</v>
      </c>
      <c r="AP30" s="65">
        <f>('Plant Data'!$C30*0.85*8760)</f>
        <v>58927.644</v>
      </c>
      <c r="AQ30" s="65">
        <f>('Plant Data'!$C30*0.85*8760)</f>
        <v>58927.644</v>
      </c>
      <c r="AR30" s="65">
        <f>('Plant Data'!$C30*0.85*8760)</f>
        <v>58927.644</v>
      </c>
      <c r="AS30" s="65">
        <f>('Plant Data'!$C30*0.85*8760)</f>
        <v>58927.644</v>
      </c>
      <c r="AT30" s="65">
        <f>('Plant Data'!$C30*0.85*8760)</f>
        <v>58927.644</v>
      </c>
      <c r="AU30" s="65">
        <f>('Plant Data'!$C30*0.85*8760)</f>
        <v>58927.644</v>
      </c>
    </row>
    <row r="31" spans="1:47" ht="15.75" customHeight="1" x14ac:dyDescent="0.2">
      <c r="A31" s="49" t="str">
        <f>IF('Plant Data'!A31="","",'Plant Data'!A31)</f>
        <v>Limay power stationUnit 4</v>
      </c>
      <c r="B31" s="65">
        <f>('Plant Data'!C35*0.85*8760)</f>
        <v>58927.644</v>
      </c>
      <c r="C31" s="65">
        <f>('Plant Data'!$C31*0.85*8760)</f>
        <v>58927.644</v>
      </c>
      <c r="D31" s="65">
        <f>('Plant Data'!$C31*0.85*8760)</f>
        <v>58927.644</v>
      </c>
      <c r="E31" s="65">
        <f>('Plant Data'!$C31*0.85*8760)</f>
        <v>58927.644</v>
      </c>
      <c r="F31" s="65">
        <f>('Plant Data'!$C31*0.85*8760)</f>
        <v>58927.644</v>
      </c>
      <c r="G31" s="65">
        <f>('Plant Data'!$C31*0.85*8760)</f>
        <v>58927.644</v>
      </c>
      <c r="H31" s="65">
        <f>('Plant Data'!$C31*0.85*8760)</f>
        <v>58927.644</v>
      </c>
      <c r="I31" s="65">
        <f>('Plant Data'!$C31*0.85*8760)</f>
        <v>58927.644</v>
      </c>
      <c r="J31" s="65">
        <f>('Plant Data'!$C31*0.85*8760)</f>
        <v>58927.644</v>
      </c>
      <c r="K31" s="65">
        <f>('Plant Data'!$C31*0.85*8760)</f>
        <v>58927.644</v>
      </c>
      <c r="L31" s="65">
        <f>('Plant Data'!$C31*0.85*8760)</f>
        <v>58927.644</v>
      </c>
      <c r="M31" s="65">
        <f>('Plant Data'!$C31*0.85*8760)</f>
        <v>58927.644</v>
      </c>
      <c r="N31" s="65">
        <f>('Plant Data'!$C31*0.85*8760)</f>
        <v>58927.644</v>
      </c>
      <c r="O31" s="65">
        <f>('Plant Data'!$C31*0.85*8760)</f>
        <v>58927.644</v>
      </c>
      <c r="P31" s="65">
        <f>('Plant Data'!$C31*0.85*8760)</f>
        <v>58927.644</v>
      </c>
      <c r="Q31" s="65">
        <f>('Plant Data'!$C31*0.85*8760)</f>
        <v>58927.644</v>
      </c>
      <c r="R31" s="65">
        <f>('Plant Data'!$C31*0.85*8760)</f>
        <v>58927.644</v>
      </c>
      <c r="S31" s="65">
        <f>('Plant Data'!$C31*0.85*8760)</f>
        <v>58927.644</v>
      </c>
      <c r="T31" s="65">
        <f>('Plant Data'!$C31*0.85*8760)</f>
        <v>58927.644</v>
      </c>
      <c r="U31" s="65">
        <f>('Plant Data'!$C31*0.85*8760)</f>
        <v>58927.644</v>
      </c>
      <c r="V31" s="65">
        <f>('Plant Data'!$C31*0.85*8760)</f>
        <v>58927.644</v>
      </c>
      <c r="W31" s="65">
        <f>('Plant Data'!$C31*0.85*8760)</f>
        <v>58927.644</v>
      </c>
      <c r="X31" s="65">
        <f>('Plant Data'!$C31*0.85*8760)</f>
        <v>58927.644</v>
      </c>
      <c r="Y31" s="65">
        <f>('Plant Data'!$C31*0.85*8760)</f>
        <v>58927.644</v>
      </c>
      <c r="Z31" s="65">
        <f>('Plant Data'!$C31*0.85*8760)</f>
        <v>58927.644</v>
      </c>
      <c r="AA31" s="65">
        <f>('Plant Data'!$C31*0.85*8760)</f>
        <v>58927.644</v>
      </c>
      <c r="AB31" s="65">
        <f>('Plant Data'!$C31*0.85*8760)</f>
        <v>58927.644</v>
      </c>
      <c r="AC31" s="65">
        <f>('Plant Data'!$C31*0.85*8760)</f>
        <v>58927.644</v>
      </c>
      <c r="AD31" s="65">
        <f>('Plant Data'!$C31*0.85*8760)</f>
        <v>58927.644</v>
      </c>
      <c r="AE31" s="65">
        <f>('Plant Data'!$C31*0.85*8760)</f>
        <v>58927.644</v>
      </c>
      <c r="AF31" s="65">
        <f>('Plant Data'!$C31*0.85*8760)</f>
        <v>58927.644</v>
      </c>
      <c r="AG31" s="65">
        <f>('Plant Data'!$C31*0.85*8760)</f>
        <v>58927.644</v>
      </c>
      <c r="AH31" s="65">
        <f>('Plant Data'!$C31*0.85*8760)</f>
        <v>58927.644</v>
      </c>
      <c r="AI31" s="65">
        <f>('Plant Data'!$C31*0.85*8760)</f>
        <v>58927.644</v>
      </c>
      <c r="AJ31" s="65">
        <f>('Plant Data'!$C31*0.85*8760)</f>
        <v>58927.644</v>
      </c>
      <c r="AK31" s="65">
        <f>('Plant Data'!$C31*0.85*8760)</f>
        <v>58927.644</v>
      </c>
      <c r="AL31" s="65">
        <f>('Plant Data'!$C31*0.85*8760)</f>
        <v>58927.644</v>
      </c>
      <c r="AM31" s="65">
        <f>('Plant Data'!$C31*0.85*8760)</f>
        <v>58927.644</v>
      </c>
      <c r="AN31" s="65">
        <f>('Plant Data'!$C31*0.85*8760)</f>
        <v>58927.644</v>
      </c>
      <c r="AO31" s="65">
        <f>('Plant Data'!$C31*0.85*8760)</f>
        <v>58927.644</v>
      </c>
      <c r="AP31" s="65">
        <f>('Plant Data'!$C31*0.85*8760)</f>
        <v>58927.644</v>
      </c>
      <c r="AQ31" s="65">
        <f>('Plant Data'!$C31*0.85*8760)</f>
        <v>58927.644</v>
      </c>
      <c r="AR31" s="65">
        <f>('Plant Data'!$C31*0.85*8760)</f>
        <v>58927.644</v>
      </c>
      <c r="AS31" s="65">
        <f>('Plant Data'!$C31*0.85*8760)</f>
        <v>58927.644</v>
      </c>
      <c r="AT31" s="65">
        <f>('Plant Data'!$C31*0.85*8760)</f>
        <v>58927.644</v>
      </c>
      <c r="AU31" s="65">
        <f>('Plant Data'!$C31*0.85*8760)</f>
        <v>58927.644</v>
      </c>
    </row>
    <row r="32" spans="1:47" ht="15.75" customHeight="1" x14ac:dyDescent="0.2">
      <c r="A32" s="49" t="str">
        <f>IF('Plant Data'!A32="","",'Plant Data'!A32)</f>
        <v>Mabalacat Mill power station</v>
      </c>
      <c r="B32" s="65">
        <f>('Plant Data'!C36*0.85*8760)</f>
        <v>58927.644</v>
      </c>
      <c r="C32" s="65">
        <f>('Plant Data'!$C32*0.85*8760)</f>
        <v>58927.644</v>
      </c>
      <c r="D32" s="65">
        <f>('Plant Data'!$C32*0.85*8760)</f>
        <v>58927.644</v>
      </c>
      <c r="E32" s="65">
        <f>('Plant Data'!$C32*0.85*8760)</f>
        <v>58927.644</v>
      </c>
      <c r="F32" s="65">
        <f>('Plant Data'!$C32*0.85*8760)</f>
        <v>58927.644</v>
      </c>
      <c r="G32" s="65">
        <f>('Plant Data'!$C32*0.85*8760)</f>
        <v>58927.644</v>
      </c>
      <c r="H32" s="65">
        <f>('Plant Data'!$C32*0.85*8760)</f>
        <v>58927.644</v>
      </c>
      <c r="I32" s="65">
        <f>('Plant Data'!$C32*0.85*8760)</f>
        <v>58927.644</v>
      </c>
      <c r="J32" s="65">
        <f>('Plant Data'!$C32*0.85*8760)</f>
        <v>58927.644</v>
      </c>
      <c r="K32" s="65">
        <f>('Plant Data'!$C32*0.85*8760)</f>
        <v>58927.644</v>
      </c>
      <c r="L32" s="65">
        <f>('Plant Data'!$C32*0.85*8760)</f>
        <v>58927.644</v>
      </c>
      <c r="M32" s="65">
        <f>('Plant Data'!$C32*0.85*8760)</f>
        <v>58927.644</v>
      </c>
      <c r="N32" s="65">
        <f>('Plant Data'!$C32*0.85*8760)</f>
        <v>58927.644</v>
      </c>
      <c r="O32" s="65">
        <f>('Plant Data'!$C32*0.85*8760)</f>
        <v>58927.644</v>
      </c>
      <c r="P32" s="65">
        <f>('Plant Data'!$C32*0.85*8760)</f>
        <v>58927.644</v>
      </c>
      <c r="Q32" s="65">
        <f>('Plant Data'!$C32*0.85*8760)</f>
        <v>58927.644</v>
      </c>
      <c r="R32" s="65">
        <f>('Plant Data'!$C32*0.85*8760)</f>
        <v>58927.644</v>
      </c>
      <c r="S32" s="65">
        <f>('Plant Data'!$C32*0.85*8760)</f>
        <v>58927.644</v>
      </c>
      <c r="T32" s="65">
        <f>('Plant Data'!$C32*0.85*8760)</f>
        <v>58927.644</v>
      </c>
      <c r="U32" s="65">
        <f>('Plant Data'!$C32*0.85*8760)</f>
        <v>58927.644</v>
      </c>
      <c r="V32" s="65">
        <f>('Plant Data'!$C32*0.85*8760)</f>
        <v>58927.644</v>
      </c>
      <c r="W32" s="65">
        <f>('Plant Data'!$C32*0.85*8760)</f>
        <v>58927.644</v>
      </c>
      <c r="X32" s="65">
        <f>('Plant Data'!$C32*0.85*8760)</f>
        <v>58927.644</v>
      </c>
      <c r="Y32" s="65">
        <f>('Plant Data'!$C32*0.85*8760)</f>
        <v>58927.644</v>
      </c>
      <c r="Z32" s="65">
        <f>('Plant Data'!$C32*0.85*8760)</f>
        <v>58927.644</v>
      </c>
      <c r="AA32" s="65">
        <f>('Plant Data'!$C32*0.85*8760)</f>
        <v>58927.644</v>
      </c>
      <c r="AB32" s="65">
        <f>('Plant Data'!$C32*0.85*8760)</f>
        <v>58927.644</v>
      </c>
      <c r="AC32" s="65">
        <f>('Plant Data'!$C32*0.85*8760)</f>
        <v>58927.644</v>
      </c>
      <c r="AD32" s="65">
        <f>('Plant Data'!$C32*0.85*8760)</f>
        <v>58927.644</v>
      </c>
      <c r="AE32" s="65">
        <f>('Plant Data'!$C32*0.85*8760)</f>
        <v>58927.644</v>
      </c>
      <c r="AF32" s="65">
        <f>('Plant Data'!$C32*0.85*8760)</f>
        <v>58927.644</v>
      </c>
      <c r="AG32" s="65">
        <f>('Plant Data'!$C32*0.85*8760)</f>
        <v>58927.644</v>
      </c>
      <c r="AH32" s="65">
        <f>('Plant Data'!$C32*0.85*8760)</f>
        <v>58927.644</v>
      </c>
      <c r="AI32" s="65">
        <f>('Plant Data'!$C32*0.85*8760)</f>
        <v>58927.644</v>
      </c>
      <c r="AJ32" s="65">
        <f>('Plant Data'!$C32*0.85*8760)</f>
        <v>58927.644</v>
      </c>
      <c r="AK32" s="65">
        <f>('Plant Data'!$C32*0.85*8760)</f>
        <v>58927.644</v>
      </c>
      <c r="AL32" s="65">
        <f>('Plant Data'!$C32*0.85*8760)</f>
        <v>58927.644</v>
      </c>
      <c r="AM32" s="65">
        <f>('Plant Data'!$C32*0.85*8760)</f>
        <v>58927.644</v>
      </c>
      <c r="AN32" s="65">
        <f>('Plant Data'!$C32*0.85*8760)</f>
        <v>58927.644</v>
      </c>
      <c r="AO32" s="65">
        <f>('Plant Data'!$C32*0.85*8760)</f>
        <v>58927.644</v>
      </c>
      <c r="AP32" s="65">
        <f>('Plant Data'!$C32*0.85*8760)</f>
        <v>58927.644</v>
      </c>
      <c r="AQ32" s="65">
        <f>('Plant Data'!$C32*0.85*8760)</f>
        <v>58927.644</v>
      </c>
      <c r="AR32" s="65">
        <f>('Plant Data'!$C32*0.85*8760)</f>
        <v>58927.644</v>
      </c>
      <c r="AS32" s="65">
        <f>('Plant Data'!$C32*0.85*8760)</f>
        <v>58927.644</v>
      </c>
      <c r="AT32" s="65">
        <f>('Plant Data'!$C32*0.85*8760)</f>
        <v>58927.644</v>
      </c>
      <c r="AU32" s="65">
        <f>('Plant Data'!$C32*0.85*8760)</f>
        <v>58927.644</v>
      </c>
    </row>
    <row r="33" spans="1:47" ht="15.75" customHeight="1" x14ac:dyDescent="0.2">
      <c r="A33" s="49" t="str">
        <f>IF('Plant Data'!A33="","",'Plant Data'!A33)</f>
        <v>Mariveles Power PlantUnit 1</v>
      </c>
      <c r="B33" s="65">
        <f>('Plant Data'!C37*0.85*8760)</f>
        <v>58927.644</v>
      </c>
      <c r="C33" s="65">
        <f>('Plant Data'!$C33*0.85*8760)</f>
        <v>58927.644</v>
      </c>
      <c r="D33" s="65">
        <f>('Plant Data'!$C33*0.85*8760)</f>
        <v>58927.644</v>
      </c>
      <c r="E33" s="65">
        <f>('Plant Data'!$C33*0.85*8760)</f>
        <v>58927.644</v>
      </c>
      <c r="F33" s="65">
        <f>('Plant Data'!$C33*0.85*8760)</f>
        <v>58927.644</v>
      </c>
      <c r="G33" s="65">
        <f>('Plant Data'!$C33*0.85*8760)</f>
        <v>58927.644</v>
      </c>
      <c r="H33" s="65">
        <f>('Plant Data'!$C33*0.85*8760)</f>
        <v>58927.644</v>
      </c>
      <c r="I33" s="65">
        <f>('Plant Data'!$C33*0.85*8760)</f>
        <v>58927.644</v>
      </c>
      <c r="J33" s="65">
        <f>('Plant Data'!$C33*0.85*8760)</f>
        <v>58927.644</v>
      </c>
      <c r="K33" s="65">
        <f>('Plant Data'!$C33*0.85*8760)</f>
        <v>58927.644</v>
      </c>
      <c r="L33" s="65">
        <f>('Plant Data'!$C33*0.85*8760)</f>
        <v>58927.644</v>
      </c>
      <c r="M33" s="65">
        <f>('Plant Data'!$C33*0.85*8760)</f>
        <v>58927.644</v>
      </c>
      <c r="N33" s="65">
        <f>('Plant Data'!$C33*0.85*8760)</f>
        <v>58927.644</v>
      </c>
      <c r="O33" s="65">
        <f>('Plant Data'!$C33*0.85*8760)</f>
        <v>58927.644</v>
      </c>
      <c r="P33" s="65">
        <f>('Plant Data'!$C33*0.85*8760)</f>
        <v>58927.644</v>
      </c>
      <c r="Q33" s="65">
        <f>('Plant Data'!$C33*0.85*8760)</f>
        <v>58927.644</v>
      </c>
      <c r="R33" s="65">
        <f>('Plant Data'!$C33*0.85*8760)</f>
        <v>58927.644</v>
      </c>
      <c r="S33" s="65">
        <f>('Plant Data'!$C33*0.85*8760)</f>
        <v>58927.644</v>
      </c>
      <c r="T33" s="65">
        <f>('Plant Data'!$C33*0.85*8760)</f>
        <v>58927.644</v>
      </c>
      <c r="U33" s="65">
        <f>('Plant Data'!$C33*0.85*8760)</f>
        <v>58927.644</v>
      </c>
      <c r="V33" s="65">
        <f>('Plant Data'!$C33*0.85*8760)</f>
        <v>58927.644</v>
      </c>
      <c r="W33" s="65">
        <f>('Plant Data'!$C33*0.85*8760)</f>
        <v>58927.644</v>
      </c>
      <c r="X33" s="65">
        <f>('Plant Data'!$C33*0.85*8760)</f>
        <v>58927.644</v>
      </c>
      <c r="Y33" s="65">
        <f>('Plant Data'!$C33*0.85*8760)</f>
        <v>58927.644</v>
      </c>
      <c r="Z33" s="65">
        <f>('Plant Data'!$C33*0.85*8760)</f>
        <v>58927.644</v>
      </c>
      <c r="AA33" s="65">
        <f>('Plant Data'!$C33*0.85*8760)</f>
        <v>58927.644</v>
      </c>
      <c r="AB33" s="65">
        <f>('Plant Data'!$C33*0.85*8760)</f>
        <v>58927.644</v>
      </c>
      <c r="AC33" s="65">
        <f>('Plant Data'!$C33*0.85*8760)</f>
        <v>58927.644</v>
      </c>
      <c r="AD33" s="65">
        <f>('Plant Data'!$C33*0.85*8760)</f>
        <v>58927.644</v>
      </c>
      <c r="AE33" s="65">
        <f>('Plant Data'!$C33*0.85*8760)</f>
        <v>58927.644</v>
      </c>
      <c r="AF33" s="65">
        <f>('Plant Data'!$C33*0.85*8760)</f>
        <v>58927.644</v>
      </c>
      <c r="AG33" s="65">
        <f>('Plant Data'!$C33*0.85*8760)</f>
        <v>58927.644</v>
      </c>
      <c r="AH33" s="65">
        <f>('Plant Data'!$C33*0.85*8760)</f>
        <v>58927.644</v>
      </c>
      <c r="AI33" s="65">
        <f>('Plant Data'!$C33*0.85*8760)</f>
        <v>58927.644</v>
      </c>
      <c r="AJ33" s="65">
        <f>('Plant Data'!$C33*0.85*8760)</f>
        <v>58927.644</v>
      </c>
      <c r="AK33" s="65">
        <f>('Plant Data'!$C33*0.85*8760)</f>
        <v>58927.644</v>
      </c>
      <c r="AL33" s="65">
        <f>('Plant Data'!$C33*0.85*8760)</f>
        <v>58927.644</v>
      </c>
      <c r="AM33" s="65">
        <f>('Plant Data'!$C33*0.85*8760)</f>
        <v>58927.644</v>
      </c>
      <c r="AN33" s="65">
        <f>('Plant Data'!$C33*0.85*8760)</f>
        <v>58927.644</v>
      </c>
      <c r="AO33" s="65">
        <f>('Plant Data'!$C33*0.85*8760)</f>
        <v>58927.644</v>
      </c>
      <c r="AP33" s="65">
        <f>('Plant Data'!$C33*0.85*8760)</f>
        <v>58927.644</v>
      </c>
      <c r="AQ33" s="65">
        <f>('Plant Data'!$C33*0.85*8760)</f>
        <v>58927.644</v>
      </c>
      <c r="AR33" s="65">
        <f>('Plant Data'!$C33*0.85*8760)</f>
        <v>58927.644</v>
      </c>
      <c r="AS33" s="65">
        <f>('Plant Data'!$C33*0.85*8760)</f>
        <v>58927.644</v>
      </c>
      <c r="AT33" s="65">
        <f>('Plant Data'!$C33*0.85*8760)</f>
        <v>58927.644</v>
      </c>
      <c r="AU33" s="65">
        <f>('Plant Data'!$C33*0.85*8760)</f>
        <v>58927.644</v>
      </c>
    </row>
    <row r="34" spans="1:47" ht="15.75" customHeight="1" x14ac:dyDescent="0.2">
      <c r="A34" s="49" t="str">
        <f>IF('Plant Data'!A34="","",'Plant Data'!A34)</f>
        <v>Mariveles Power PlantUnit 2</v>
      </c>
      <c r="B34" s="65">
        <f>('Plant Data'!C38*0.85*8760)</f>
        <v>58927.644</v>
      </c>
      <c r="C34" s="65">
        <f>('Plant Data'!$C34*0.85*8760)</f>
        <v>58927.644</v>
      </c>
      <c r="D34" s="65">
        <f>('Plant Data'!$C34*0.85*8760)</f>
        <v>58927.644</v>
      </c>
      <c r="E34" s="65">
        <f>('Plant Data'!$C34*0.85*8760)</f>
        <v>58927.644</v>
      </c>
      <c r="F34" s="65">
        <f>('Plant Data'!$C34*0.85*8760)</f>
        <v>58927.644</v>
      </c>
      <c r="G34" s="65">
        <f>('Plant Data'!$C34*0.85*8760)</f>
        <v>58927.644</v>
      </c>
      <c r="H34" s="65">
        <f>('Plant Data'!$C34*0.85*8760)</f>
        <v>58927.644</v>
      </c>
      <c r="I34" s="65">
        <f>('Plant Data'!$C34*0.85*8760)</f>
        <v>58927.644</v>
      </c>
      <c r="J34" s="65">
        <f>('Plant Data'!$C34*0.85*8760)</f>
        <v>58927.644</v>
      </c>
      <c r="K34" s="65">
        <f>('Plant Data'!$C34*0.85*8760)</f>
        <v>58927.644</v>
      </c>
      <c r="L34" s="65">
        <f>('Plant Data'!$C34*0.85*8760)</f>
        <v>58927.644</v>
      </c>
      <c r="M34" s="65">
        <f>('Plant Data'!$C34*0.85*8760)</f>
        <v>58927.644</v>
      </c>
      <c r="N34" s="65">
        <f>('Plant Data'!$C34*0.85*8760)</f>
        <v>58927.644</v>
      </c>
      <c r="O34" s="65">
        <f>('Plant Data'!$C34*0.85*8760)</f>
        <v>58927.644</v>
      </c>
      <c r="P34" s="65">
        <f>('Plant Data'!$C34*0.85*8760)</f>
        <v>58927.644</v>
      </c>
      <c r="Q34" s="65">
        <f>('Plant Data'!$C34*0.85*8760)</f>
        <v>58927.644</v>
      </c>
      <c r="R34" s="65">
        <f>('Plant Data'!$C34*0.85*8760)</f>
        <v>58927.644</v>
      </c>
      <c r="S34" s="65">
        <f>('Plant Data'!$C34*0.85*8760)</f>
        <v>58927.644</v>
      </c>
      <c r="T34" s="65">
        <f>('Plant Data'!$C34*0.85*8760)</f>
        <v>58927.644</v>
      </c>
      <c r="U34" s="65">
        <f>('Plant Data'!$C34*0.85*8760)</f>
        <v>58927.644</v>
      </c>
      <c r="V34" s="65">
        <f>('Plant Data'!$C34*0.85*8760)</f>
        <v>58927.644</v>
      </c>
      <c r="W34" s="65">
        <f>('Plant Data'!$C34*0.85*8760)</f>
        <v>58927.644</v>
      </c>
      <c r="X34" s="65">
        <f>('Plant Data'!$C34*0.85*8760)</f>
        <v>58927.644</v>
      </c>
      <c r="Y34" s="65">
        <f>('Plant Data'!$C34*0.85*8760)</f>
        <v>58927.644</v>
      </c>
      <c r="Z34" s="65">
        <f>('Plant Data'!$C34*0.85*8760)</f>
        <v>58927.644</v>
      </c>
      <c r="AA34" s="65">
        <f>('Plant Data'!$C34*0.85*8760)</f>
        <v>58927.644</v>
      </c>
      <c r="AB34" s="65">
        <f>('Plant Data'!$C34*0.85*8760)</f>
        <v>58927.644</v>
      </c>
      <c r="AC34" s="65">
        <f>('Plant Data'!$C34*0.85*8760)</f>
        <v>58927.644</v>
      </c>
      <c r="AD34" s="65">
        <f>('Plant Data'!$C34*0.85*8760)</f>
        <v>58927.644</v>
      </c>
      <c r="AE34" s="65">
        <f>('Plant Data'!$C34*0.85*8760)</f>
        <v>58927.644</v>
      </c>
      <c r="AF34" s="65">
        <f>('Plant Data'!$C34*0.85*8760)</f>
        <v>58927.644</v>
      </c>
      <c r="AG34" s="65">
        <f>('Plant Data'!$C34*0.85*8760)</f>
        <v>58927.644</v>
      </c>
      <c r="AH34" s="65">
        <f>('Plant Data'!$C34*0.85*8760)</f>
        <v>58927.644</v>
      </c>
      <c r="AI34" s="65">
        <f>('Plant Data'!$C34*0.85*8760)</f>
        <v>58927.644</v>
      </c>
      <c r="AJ34" s="65">
        <f>('Plant Data'!$C34*0.85*8760)</f>
        <v>58927.644</v>
      </c>
      <c r="AK34" s="65">
        <f>('Plant Data'!$C34*0.85*8760)</f>
        <v>58927.644</v>
      </c>
      <c r="AL34" s="65">
        <f>('Plant Data'!$C34*0.85*8760)</f>
        <v>58927.644</v>
      </c>
      <c r="AM34" s="65">
        <f>('Plant Data'!$C34*0.85*8760)</f>
        <v>58927.644</v>
      </c>
      <c r="AN34" s="65">
        <f>('Plant Data'!$C34*0.85*8760)</f>
        <v>58927.644</v>
      </c>
      <c r="AO34" s="65">
        <f>('Plant Data'!$C34*0.85*8760)</f>
        <v>58927.644</v>
      </c>
      <c r="AP34" s="65">
        <f>('Plant Data'!$C34*0.85*8760)</f>
        <v>58927.644</v>
      </c>
      <c r="AQ34" s="65">
        <f>('Plant Data'!$C34*0.85*8760)</f>
        <v>58927.644</v>
      </c>
      <c r="AR34" s="65">
        <f>('Plant Data'!$C34*0.85*8760)</f>
        <v>58927.644</v>
      </c>
      <c r="AS34" s="65">
        <f>('Plant Data'!$C34*0.85*8760)</f>
        <v>58927.644</v>
      </c>
      <c r="AT34" s="65">
        <f>('Plant Data'!$C34*0.85*8760)</f>
        <v>58927.644</v>
      </c>
      <c r="AU34" s="65">
        <f>('Plant Data'!$C34*0.85*8760)</f>
        <v>58927.644</v>
      </c>
    </row>
    <row r="35" spans="1:47" ht="15.75" customHeight="1" x14ac:dyDescent="0.2">
      <c r="A35" s="49" t="str">
        <f>IF('Plant Data'!A35="","",'Plant Data'!A35)</f>
        <v>Masinloc power stationUnit 1</v>
      </c>
      <c r="B35" s="65">
        <f>('Plant Data'!C39*0.85*8760)</f>
        <v>58927.644</v>
      </c>
      <c r="C35" s="65">
        <f>('Plant Data'!$C35*0.85*8760)</f>
        <v>58927.644</v>
      </c>
      <c r="D35" s="65">
        <f>('Plant Data'!$C35*0.85*8760)</f>
        <v>58927.644</v>
      </c>
      <c r="E35" s="65">
        <f>('Plant Data'!$C35*0.85*8760)</f>
        <v>58927.644</v>
      </c>
      <c r="F35" s="65">
        <f>('Plant Data'!$C35*0.85*8760)</f>
        <v>58927.644</v>
      </c>
      <c r="G35" s="65">
        <f>('Plant Data'!$C35*0.85*8760)</f>
        <v>58927.644</v>
      </c>
      <c r="H35" s="65">
        <f>('Plant Data'!$C35*0.85*8760)</f>
        <v>58927.644</v>
      </c>
      <c r="I35" s="65">
        <f>('Plant Data'!$C35*0.85*8760)</f>
        <v>58927.644</v>
      </c>
      <c r="J35" s="65">
        <f>('Plant Data'!$C35*0.85*8760)</f>
        <v>58927.644</v>
      </c>
      <c r="K35" s="65">
        <f>('Plant Data'!$C35*0.85*8760)</f>
        <v>58927.644</v>
      </c>
      <c r="L35" s="65">
        <f>('Plant Data'!$C35*0.85*8760)</f>
        <v>58927.644</v>
      </c>
      <c r="M35" s="65">
        <f>('Plant Data'!$C35*0.85*8760)</f>
        <v>58927.644</v>
      </c>
      <c r="N35" s="65">
        <f>('Plant Data'!$C35*0.85*8760)</f>
        <v>58927.644</v>
      </c>
      <c r="O35" s="65">
        <f>('Plant Data'!$C35*0.85*8760)</f>
        <v>58927.644</v>
      </c>
      <c r="P35" s="65">
        <f>('Plant Data'!$C35*0.85*8760)</f>
        <v>58927.644</v>
      </c>
      <c r="Q35" s="65">
        <f>('Plant Data'!$C35*0.85*8760)</f>
        <v>58927.644</v>
      </c>
      <c r="R35" s="65">
        <f>('Plant Data'!$C35*0.85*8760)</f>
        <v>58927.644</v>
      </c>
      <c r="S35" s="65">
        <f>('Plant Data'!$C35*0.85*8760)</f>
        <v>58927.644</v>
      </c>
      <c r="T35" s="65">
        <f>('Plant Data'!$C35*0.85*8760)</f>
        <v>58927.644</v>
      </c>
      <c r="U35" s="65">
        <f>('Plant Data'!$C35*0.85*8760)</f>
        <v>58927.644</v>
      </c>
      <c r="V35" s="65">
        <f>('Plant Data'!$C35*0.85*8760)</f>
        <v>58927.644</v>
      </c>
      <c r="W35" s="65">
        <f>('Plant Data'!$C35*0.85*8760)</f>
        <v>58927.644</v>
      </c>
      <c r="X35" s="65">
        <f>('Plant Data'!$C35*0.85*8760)</f>
        <v>58927.644</v>
      </c>
      <c r="Y35" s="65">
        <f>('Plant Data'!$C35*0.85*8760)</f>
        <v>58927.644</v>
      </c>
      <c r="Z35" s="65">
        <f>('Plant Data'!$C35*0.85*8760)</f>
        <v>58927.644</v>
      </c>
      <c r="AA35" s="65">
        <f>('Plant Data'!$C35*0.85*8760)</f>
        <v>58927.644</v>
      </c>
      <c r="AB35" s="65">
        <f>('Plant Data'!$C35*0.85*8760)</f>
        <v>58927.644</v>
      </c>
      <c r="AC35" s="65">
        <f>('Plant Data'!$C35*0.85*8760)</f>
        <v>58927.644</v>
      </c>
      <c r="AD35" s="65">
        <f>('Plant Data'!$C35*0.85*8760)</f>
        <v>58927.644</v>
      </c>
      <c r="AE35" s="65">
        <f>('Plant Data'!$C35*0.85*8760)</f>
        <v>58927.644</v>
      </c>
      <c r="AF35" s="65">
        <f>('Plant Data'!$C35*0.85*8760)</f>
        <v>58927.644</v>
      </c>
      <c r="AG35" s="65">
        <f>('Plant Data'!$C35*0.85*8760)</f>
        <v>58927.644</v>
      </c>
      <c r="AH35" s="65">
        <f>('Plant Data'!$C35*0.85*8760)</f>
        <v>58927.644</v>
      </c>
      <c r="AI35" s="65">
        <f>('Plant Data'!$C35*0.85*8760)</f>
        <v>58927.644</v>
      </c>
      <c r="AJ35" s="65">
        <f>('Plant Data'!$C35*0.85*8760)</f>
        <v>58927.644</v>
      </c>
      <c r="AK35" s="65">
        <f>('Plant Data'!$C35*0.85*8760)</f>
        <v>58927.644</v>
      </c>
      <c r="AL35" s="65">
        <f>('Plant Data'!$C35*0.85*8760)</f>
        <v>58927.644</v>
      </c>
      <c r="AM35" s="65">
        <f>('Plant Data'!$C35*0.85*8760)</f>
        <v>58927.644</v>
      </c>
      <c r="AN35" s="65">
        <f>('Plant Data'!$C35*0.85*8760)</f>
        <v>58927.644</v>
      </c>
      <c r="AO35" s="65">
        <f>('Plant Data'!$C35*0.85*8760)</f>
        <v>58927.644</v>
      </c>
      <c r="AP35" s="65">
        <f>('Plant Data'!$C35*0.85*8760)</f>
        <v>58927.644</v>
      </c>
      <c r="AQ35" s="65">
        <f>('Plant Data'!$C35*0.85*8760)</f>
        <v>58927.644</v>
      </c>
      <c r="AR35" s="65">
        <f>('Plant Data'!$C35*0.85*8760)</f>
        <v>58927.644</v>
      </c>
      <c r="AS35" s="65">
        <f>('Plant Data'!$C35*0.85*8760)</f>
        <v>58927.644</v>
      </c>
      <c r="AT35" s="65">
        <f>('Plant Data'!$C35*0.85*8760)</f>
        <v>58927.644</v>
      </c>
      <c r="AU35" s="65">
        <f>('Plant Data'!$C35*0.85*8760)</f>
        <v>58927.644</v>
      </c>
    </row>
    <row r="36" spans="1:47" ht="15.75" customHeight="1" x14ac:dyDescent="0.2">
      <c r="A36" s="49" t="str">
        <f>IF('Plant Data'!A36="","",'Plant Data'!A36)</f>
        <v>Masinloc power stationUnit 2</v>
      </c>
      <c r="B36" s="65">
        <f>('Plant Data'!C40*0.85*8760)</f>
        <v>58927.644</v>
      </c>
      <c r="C36" s="65">
        <f>('Plant Data'!$C36*0.85*8760)</f>
        <v>58927.644</v>
      </c>
      <c r="D36" s="65">
        <f>('Plant Data'!$C36*0.85*8760)</f>
        <v>58927.644</v>
      </c>
      <c r="E36" s="65">
        <f>('Plant Data'!$C36*0.85*8760)</f>
        <v>58927.644</v>
      </c>
      <c r="F36" s="65">
        <f>('Plant Data'!$C36*0.85*8760)</f>
        <v>58927.644</v>
      </c>
      <c r="G36" s="65">
        <f>('Plant Data'!$C36*0.85*8760)</f>
        <v>58927.644</v>
      </c>
      <c r="H36" s="65">
        <f>('Plant Data'!$C36*0.85*8760)</f>
        <v>58927.644</v>
      </c>
      <c r="I36" s="65">
        <f>('Plant Data'!$C36*0.85*8760)</f>
        <v>58927.644</v>
      </c>
      <c r="J36" s="65">
        <f>('Plant Data'!$C36*0.85*8760)</f>
        <v>58927.644</v>
      </c>
      <c r="K36" s="65">
        <f>('Plant Data'!$C36*0.85*8760)</f>
        <v>58927.644</v>
      </c>
      <c r="L36" s="65">
        <f>('Plant Data'!$C36*0.85*8760)</f>
        <v>58927.644</v>
      </c>
      <c r="M36" s="65">
        <f>('Plant Data'!$C36*0.85*8760)</f>
        <v>58927.644</v>
      </c>
      <c r="N36" s="65">
        <f>('Plant Data'!$C36*0.85*8760)</f>
        <v>58927.644</v>
      </c>
      <c r="O36" s="65">
        <f>('Plant Data'!$C36*0.85*8760)</f>
        <v>58927.644</v>
      </c>
      <c r="P36" s="65">
        <f>('Plant Data'!$C36*0.85*8760)</f>
        <v>58927.644</v>
      </c>
      <c r="Q36" s="65">
        <f>('Plant Data'!$C36*0.85*8760)</f>
        <v>58927.644</v>
      </c>
      <c r="R36" s="65">
        <f>('Plant Data'!$C36*0.85*8760)</f>
        <v>58927.644</v>
      </c>
      <c r="S36" s="65">
        <f>('Plant Data'!$C36*0.85*8760)</f>
        <v>58927.644</v>
      </c>
      <c r="T36" s="65">
        <f>('Plant Data'!$C36*0.85*8760)</f>
        <v>58927.644</v>
      </c>
      <c r="U36" s="65">
        <f>('Plant Data'!$C36*0.85*8760)</f>
        <v>58927.644</v>
      </c>
      <c r="V36" s="65">
        <f>('Plant Data'!$C36*0.85*8760)</f>
        <v>58927.644</v>
      </c>
      <c r="W36" s="65">
        <f>('Plant Data'!$C36*0.85*8760)</f>
        <v>58927.644</v>
      </c>
      <c r="X36" s="65">
        <f>('Plant Data'!$C36*0.85*8760)</f>
        <v>58927.644</v>
      </c>
      <c r="Y36" s="65">
        <f>('Plant Data'!$C36*0.85*8760)</f>
        <v>58927.644</v>
      </c>
      <c r="Z36" s="65">
        <f>('Plant Data'!$C36*0.85*8760)</f>
        <v>58927.644</v>
      </c>
      <c r="AA36" s="65">
        <f>('Plant Data'!$C36*0.85*8760)</f>
        <v>58927.644</v>
      </c>
      <c r="AB36" s="65">
        <f>('Plant Data'!$C36*0.85*8760)</f>
        <v>58927.644</v>
      </c>
      <c r="AC36" s="65">
        <f>('Plant Data'!$C36*0.85*8760)</f>
        <v>58927.644</v>
      </c>
      <c r="AD36" s="65">
        <f>('Plant Data'!$C36*0.85*8760)</f>
        <v>58927.644</v>
      </c>
      <c r="AE36" s="65">
        <f>('Plant Data'!$C36*0.85*8760)</f>
        <v>58927.644</v>
      </c>
      <c r="AF36" s="65">
        <f>('Plant Data'!$C36*0.85*8760)</f>
        <v>58927.644</v>
      </c>
      <c r="AG36" s="65">
        <f>('Plant Data'!$C36*0.85*8760)</f>
        <v>58927.644</v>
      </c>
      <c r="AH36" s="65">
        <f>('Plant Data'!$C36*0.85*8760)</f>
        <v>58927.644</v>
      </c>
      <c r="AI36" s="65">
        <f>('Plant Data'!$C36*0.85*8760)</f>
        <v>58927.644</v>
      </c>
      <c r="AJ36" s="65">
        <f>('Plant Data'!$C36*0.85*8760)</f>
        <v>58927.644</v>
      </c>
      <c r="AK36" s="65">
        <f>('Plant Data'!$C36*0.85*8760)</f>
        <v>58927.644</v>
      </c>
      <c r="AL36" s="65">
        <f>('Plant Data'!$C36*0.85*8760)</f>
        <v>58927.644</v>
      </c>
      <c r="AM36" s="65">
        <f>('Plant Data'!$C36*0.85*8760)</f>
        <v>58927.644</v>
      </c>
      <c r="AN36" s="65">
        <f>('Plant Data'!$C36*0.85*8760)</f>
        <v>58927.644</v>
      </c>
      <c r="AO36" s="65">
        <f>('Plant Data'!$C36*0.85*8760)</f>
        <v>58927.644</v>
      </c>
      <c r="AP36" s="65">
        <f>('Plant Data'!$C36*0.85*8760)</f>
        <v>58927.644</v>
      </c>
      <c r="AQ36" s="65">
        <f>('Plant Data'!$C36*0.85*8760)</f>
        <v>58927.644</v>
      </c>
      <c r="AR36" s="65">
        <f>('Plant Data'!$C36*0.85*8760)</f>
        <v>58927.644</v>
      </c>
      <c r="AS36" s="65">
        <f>('Plant Data'!$C36*0.85*8760)</f>
        <v>58927.644</v>
      </c>
      <c r="AT36" s="65">
        <f>('Plant Data'!$C36*0.85*8760)</f>
        <v>58927.644</v>
      </c>
      <c r="AU36" s="65">
        <f>('Plant Data'!$C36*0.85*8760)</f>
        <v>58927.644</v>
      </c>
    </row>
    <row r="37" spans="1:47" ht="15.75" customHeight="1" x14ac:dyDescent="0.2">
      <c r="A37" s="49" t="str">
        <f>IF('Plant Data'!A37="","",'Plant Data'!A37)</f>
        <v>Masinloc power stationUnit 3</v>
      </c>
      <c r="B37" s="65">
        <f>('Plant Data'!C41*0.85*8760)</f>
        <v>58927.644</v>
      </c>
      <c r="C37" s="65">
        <f>('Plant Data'!$C37*0.85*8760)</f>
        <v>58927.644</v>
      </c>
      <c r="D37" s="65">
        <f>('Plant Data'!$C37*0.85*8760)</f>
        <v>58927.644</v>
      </c>
      <c r="E37" s="65">
        <f>('Plant Data'!$C37*0.85*8760)</f>
        <v>58927.644</v>
      </c>
      <c r="F37" s="65">
        <f>('Plant Data'!$C37*0.85*8760)</f>
        <v>58927.644</v>
      </c>
      <c r="G37" s="65">
        <f>('Plant Data'!$C37*0.85*8760)</f>
        <v>58927.644</v>
      </c>
      <c r="H37" s="65">
        <f>('Plant Data'!$C37*0.85*8760)</f>
        <v>58927.644</v>
      </c>
      <c r="I37" s="65">
        <f>('Plant Data'!$C37*0.85*8760)</f>
        <v>58927.644</v>
      </c>
      <c r="J37" s="65">
        <f>('Plant Data'!$C37*0.85*8760)</f>
        <v>58927.644</v>
      </c>
      <c r="K37" s="65">
        <f>('Plant Data'!$C37*0.85*8760)</f>
        <v>58927.644</v>
      </c>
      <c r="L37" s="65">
        <f>('Plant Data'!$C37*0.85*8760)</f>
        <v>58927.644</v>
      </c>
      <c r="M37" s="65">
        <f>('Plant Data'!$C37*0.85*8760)</f>
        <v>58927.644</v>
      </c>
      <c r="N37" s="65">
        <f>('Plant Data'!$C37*0.85*8760)</f>
        <v>58927.644</v>
      </c>
      <c r="O37" s="65">
        <f>('Plant Data'!$C37*0.85*8760)</f>
        <v>58927.644</v>
      </c>
      <c r="P37" s="65">
        <f>('Plant Data'!$C37*0.85*8760)</f>
        <v>58927.644</v>
      </c>
      <c r="Q37" s="65">
        <f>('Plant Data'!$C37*0.85*8760)</f>
        <v>58927.644</v>
      </c>
      <c r="R37" s="65">
        <f>('Plant Data'!$C37*0.85*8760)</f>
        <v>58927.644</v>
      </c>
      <c r="S37" s="65">
        <f>('Plant Data'!$C37*0.85*8760)</f>
        <v>58927.644</v>
      </c>
      <c r="T37" s="65">
        <f>('Plant Data'!$C37*0.85*8760)</f>
        <v>58927.644</v>
      </c>
      <c r="U37" s="65">
        <f>('Plant Data'!$C37*0.85*8760)</f>
        <v>58927.644</v>
      </c>
      <c r="V37" s="65">
        <f>('Plant Data'!$C37*0.85*8760)</f>
        <v>58927.644</v>
      </c>
      <c r="W37" s="65">
        <f>('Plant Data'!$C37*0.85*8760)</f>
        <v>58927.644</v>
      </c>
      <c r="X37" s="65">
        <f>('Plant Data'!$C37*0.85*8760)</f>
        <v>58927.644</v>
      </c>
      <c r="Y37" s="65">
        <f>('Plant Data'!$C37*0.85*8760)</f>
        <v>58927.644</v>
      </c>
      <c r="Z37" s="65">
        <f>('Plant Data'!$C37*0.85*8760)</f>
        <v>58927.644</v>
      </c>
      <c r="AA37" s="65">
        <f>('Plant Data'!$C37*0.85*8760)</f>
        <v>58927.644</v>
      </c>
      <c r="AB37" s="65">
        <f>('Plant Data'!$C37*0.85*8760)</f>
        <v>58927.644</v>
      </c>
      <c r="AC37" s="65">
        <f>('Plant Data'!$C37*0.85*8760)</f>
        <v>58927.644</v>
      </c>
      <c r="AD37" s="65">
        <f>('Plant Data'!$C37*0.85*8760)</f>
        <v>58927.644</v>
      </c>
      <c r="AE37" s="65">
        <f>('Plant Data'!$C37*0.85*8760)</f>
        <v>58927.644</v>
      </c>
      <c r="AF37" s="65">
        <f>('Plant Data'!$C37*0.85*8760)</f>
        <v>58927.644</v>
      </c>
      <c r="AG37" s="65">
        <f>('Plant Data'!$C37*0.85*8760)</f>
        <v>58927.644</v>
      </c>
      <c r="AH37" s="65">
        <f>('Plant Data'!$C37*0.85*8760)</f>
        <v>58927.644</v>
      </c>
      <c r="AI37" s="65">
        <f>('Plant Data'!$C37*0.85*8760)</f>
        <v>58927.644</v>
      </c>
      <c r="AJ37" s="65">
        <f>('Plant Data'!$C37*0.85*8760)</f>
        <v>58927.644</v>
      </c>
      <c r="AK37" s="65">
        <f>('Plant Data'!$C37*0.85*8760)</f>
        <v>58927.644</v>
      </c>
      <c r="AL37" s="65">
        <f>('Plant Data'!$C37*0.85*8760)</f>
        <v>58927.644</v>
      </c>
      <c r="AM37" s="65">
        <f>('Plant Data'!$C37*0.85*8760)</f>
        <v>58927.644</v>
      </c>
      <c r="AN37" s="65">
        <f>('Plant Data'!$C37*0.85*8760)</f>
        <v>58927.644</v>
      </c>
      <c r="AO37" s="65">
        <f>('Plant Data'!$C37*0.85*8760)</f>
        <v>58927.644</v>
      </c>
      <c r="AP37" s="65">
        <f>('Plant Data'!$C37*0.85*8760)</f>
        <v>58927.644</v>
      </c>
      <c r="AQ37" s="65">
        <f>('Plant Data'!$C37*0.85*8760)</f>
        <v>58927.644</v>
      </c>
      <c r="AR37" s="65">
        <f>('Plant Data'!$C37*0.85*8760)</f>
        <v>58927.644</v>
      </c>
      <c r="AS37" s="65">
        <f>('Plant Data'!$C37*0.85*8760)</f>
        <v>58927.644</v>
      </c>
      <c r="AT37" s="65">
        <f>('Plant Data'!$C37*0.85*8760)</f>
        <v>58927.644</v>
      </c>
      <c r="AU37" s="65">
        <f>('Plant Data'!$C37*0.85*8760)</f>
        <v>58927.644</v>
      </c>
    </row>
    <row r="38" spans="1:47" ht="15.75" customHeight="1" x14ac:dyDescent="0.2">
      <c r="A38" s="49" t="str">
        <f>IF('Plant Data'!A38="","",'Plant Data'!A38)</f>
        <v>Mindanao Steag power stationUnit 1</v>
      </c>
      <c r="B38" s="65">
        <f>('Plant Data'!C42*0.85*8760)</f>
        <v>58927.644</v>
      </c>
      <c r="C38" s="65">
        <f>('Plant Data'!$C38*0.85*8760)</f>
        <v>58927.644</v>
      </c>
      <c r="D38" s="65">
        <f>('Plant Data'!$C38*0.85*8760)</f>
        <v>58927.644</v>
      </c>
      <c r="E38" s="65">
        <f>('Plant Data'!$C38*0.85*8760)</f>
        <v>58927.644</v>
      </c>
      <c r="F38" s="65">
        <f>('Plant Data'!$C38*0.85*8760)</f>
        <v>58927.644</v>
      </c>
      <c r="G38" s="65">
        <f>('Plant Data'!$C38*0.85*8760)</f>
        <v>58927.644</v>
      </c>
      <c r="H38" s="65">
        <f>('Plant Data'!$C38*0.85*8760)</f>
        <v>58927.644</v>
      </c>
      <c r="I38" s="65">
        <f>('Plant Data'!$C38*0.85*8760)</f>
        <v>58927.644</v>
      </c>
      <c r="J38" s="65">
        <f>('Plant Data'!$C38*0.85*8760)</f>
        <v>58927.644</v>
      </c>
      <c r="K38" s="65">
        <f>('Plant Data'!$C38*0.85*8760)</f>
        <v>58927.644</v>
      </c>
      <c r="L38" s="65">
        <f>('Plant Data'!$C38*0.85*8760)</f>
        <v>58927.644</v>
      </c>
      <c r="M38" s="65">
        <f>('Plant Data'!$C38*0.85*8760)</f>
        <v>58927.644</v>
      </c>
      <c r="N38" s="65">
        <f>('Plant Data'!$C38*0.85*8760)</f>
        <v>58927.644</v>
      </c>
      <c r="O38" s="65">
        <f>('Plant Data'!$C38*0.85*8760)</f>
        <v>58927.644</v>
      </c>
      <c r="P38" s="65">
        <f>('Plant Data'!$C38*0.85*8760)</f>
        <v>58927.644</v>
      </c>
      <c r="Q38" s="65">
        <f>('Plant Data'!$C38*0.85*8760)</f>
        <v>58927.644</v>
      </c>
      <c r="R38" s="65">
        <f>('Plant Data'!$C38*0.85*8760)</f>
        <v>58927.644</v>
      </c>
      <c r="S38" s="65">
        <f>('Plant Data'!$C38*0.85*8760)</f>
        <v>58927.644</v>
      </c>
      <c r="T38" s="65">
        <f>('Plant Data'!$C38*0.85*8760)</f>
        <v>58927.644</v>
      </c>
      <c r="U38" s="65">
        <f>('Plant Data'!$C38*0.85*8760)</f>
        <v>58927.644</v>
      </c>
      <c r="V38" s="65">
        <f>('Plant Data'!$C38*0.85*8760)</f>
        <v>58927.644</v>
      </c>
      <c r="W38" s="65">
        <f>('Plant Data'!$C38*0.85*8760)</f>
        <v>58927.644</v>
      </c>
      <c r="X38" s="65">
        <f>('Plant Data'!$C38*0.85*8760)</f>
        <v>58927.644</v>
      </c>
      <c r="Y38" s="65">
        <f>('Plant Data'!$C38*0.85*8760)</f>
        <v>58927.644</v>
      </c>
      <c r="Z38" s="65">
        <f>('Plant Data'!$C38*0.85*8760)</f>
        <v>58927.644</v>
      </c>
      <c r="AA38" s="65">
        <f>('Plant Data'!$C38*0.85*8760)</f>
        <v>58927.644</v>
      </c>
      <c r="AB38" s="65">
        <f>('Plant Data'!$C38*0.85*8760)</f>
        <v>58927.644</v>
      </c>
      <c r="AC38" s="65">
        <f>('Plant Data'!$C38*0.85*8760)</f>
        <v>58927.644</v>
      </c>
      <c r="AD38" s="65">
        <f>('Plant Data'!$C38*0.85*8760)</f>
        <v>58927.644</v>
      </c>
      <c r="AE38" s="65">
        <f>('Plant Data'!$C38*0.85*8760)</f>
        <v>58927.644</v>
      </c>
      <c r="AF38" s="65">
        <f>('Plant Data'!$C38*0.85*8760)</f>
        <v>58927.644</v>
      </c>
      <c r="AG38" s="65">
        <f>('Plant Data'!$C38*0.85*8760)</f>
        <v>58927.644</v>
      </c>
      <c r="AH38" s="65">
        <f>('Plant Data'!$C38*0.85*8760)</f>
        <v>58927.644</v>
      </c>
      <c r="AI38" s="65">
        <f>('Plant Data'!$C38*0.85*8760)</f>
        <v>58927.644</v>
      </c>
      <c r="AJ38" s="65">
        <f>('Plant Data'!$C38*0.85*8760)</f>
        <v>58927.644</v>
      </c>
      <c r="AK38" s="65">
        <f>('Plant Data'!$C38*0.85*8760)</f>
        <v>58927.644</v>
      </c>
      <c r="AL38" s="65">
        <f>('Plant Data'!$C38*0.85*8760)</f>
        <v>58927.644</v>
      </c>
      <c r="AM38" s="65">
        <f>('Plant Data'!$C38*0.85*8760)</f>
        <v>58927.644</v>
      </c>
      <c r="AN38" s="65">
        <f>('Plant Data'!$C38*0.85*8760)</f>
        <v>58927.644</v>
      </c>
      <c r="AO38" s="65">
        <f>('Plant Data'!$C38*0.85*8760)</f>
        <v>58927.644</v>
      </c>
      <c r="AP38" s="65">
        <f>('Plant Data'!$C38*0.85*8760)</f>
        <v>58927.644</v>
      </c>
      <c r="AQ38" s="65">
        <f>('Plant Data'!$C38*0.85*8760)</f>
        <v>58927.644</v>
      </c>
      <c r="AR38" s="65">
        <f>('Plant Data'!$C38*0.85*8760)</f>
        <v>58927.644</v>
      </c>
      <c r="AS38" s="65">
        <f>('Plant Data'!$C38*0.85*8760)</f>
        <v>58927.644</v>
      </c>
      <c r="AT38" s="65">
        <f>('Plant Data'!$C38*0.85*8760)</f>
        <v>58927.644</v>
      </c>
      <c r="AU38" s="65">
        <f>('Plant Data'!$C38*0.85*8760)</f>
        <v>58927.644</v>
      </c>
    </row>
    <row r="39" spans="1:47" ht="15.75" customHeight="1" x14ac:dyDescent="0.2">
      <c r="A39" s="49" t="str">
        <f>IF('Plant Data'!A39="","",'Plant Data'!A39)</f>
        <v>Mindanao Steag power stationUnit 2</v>
      </c>
      <c r="B39" s="65">
        <f>('Plant Data'!C43*0.85*8760)</f>
        <v>58927.644</v>
      </c>
      <c r="C39" s="65">
        <f>('Plant Data'!$C39*0.85*8760)</f>
        <v>58927.644</v>
      </c>
      <c r="D39" s="65">
        <f>('Plant Data'!$C39*0.85*8760)</f>
        <v>58927.644</v>
      </c>
      <c r="E39" s="65">
        <f>('Plant Data'!$C39*0.85*8760)</f>
        <v>58927.644</v>
      </c>
      <c r="F39" s="65">
        <f>('Plant Data'!$C39*0.85*8760)</f>
        <v>58927.644</v>
      </c>
      <c r="G39" s="65">
        <f>('Plant Data'!$C39*0.85*8760)</f>
        <v>58927.644</v>
      </c>
      <c r="H39" s="65">
        <f>('Plant Data'!$C39*0.85*8760)</f>
        <v>58927.644</v>
      </c>
      <c r="I39" s="65">
        <f>('Plant Data'!$C39*0.85*8760)</f>
        <v>58927.644</v>
      </c>
      <c r="J39" s="65">
        <f>('Plant Data'!$C39*0.85*8760)</f>
        <v>58927.644</v>
      </c>
      <c r="K39" s="65">
        <f>('Plant Data'!$C39*0.85*8760)</f>
        <v>58927.644</v>
      </c>
      <c r="L39" s="65">
        <f>('Plant Data'!$C39*0.85*8760)</f>
        <v>58927.644</v>
      </c>
      <c r="M39" s="65">
        <f>('Plant Data'!$C39*0.85*8760)</f>
        <v>58927.644</v>
      </c>
      <c r="N39" s="65">
        <f>('Plant Data'!$C39*0.85*8760)</f>
        <v>58927.644</v>
      </c>
      <c r="O39" s="65">
        <f>('Plant Data'!$C39*0.85*8760)</f>
        <v>58927.644</v>
      </c>
      <c r="P39" s="65">
        <f>('Plant Data'!$C39*0.85*8760)</f>
        <v>58927.644</v>
      </c>
      <c r="Q39" s="65">
        <f>('Plant Data'!$C39*0.85*8760)</f>
        <v>58927.644</v>
      </c>
      <c r="R39" s="65">
        <f>('Plant Data'!$C39*0.85*8760)</f>
        <v>58927.644</v>
      </c>
      <c r="S39" s="65">
        <f>('Plant Data'!$C39*0.85*8760)</f>
        <v>58927.644</v>
      </c>
      <c r="T39" s="65">
        <f>('Plant Data'!$C39*0.85*8760)</f>
        <v>58927.644</v>
      </c>
      <c r="U39" s="65">
        <f>('Plant Data'!$C39*0.85*8760)</f>
        <v>58927.644</v>
      </c>
      <c r="V39" s="65">
        <f>('Plant Data'!$C39*0.85*8760)</f>
        <v>58927.644</v>
      </c>
      <c r="W39" s="65">
        <f>('Plant Data'!$C39*0.85*8760)</f>
        <v>58927.644</v>
      </c>
      <c r="X39" s="65">
        <f>('Plant Data'!$C39*0.85*8760)</f>
        <v>58927.644</v>
      </c>
      <c r="Y39" s="65">
        <f>('Plant Data'!$C39*0.85*8760)</f>
        <v>58927.644</v>
      </c>
      <c r="Z39" s="65">
        <f>('Plant Data'!$C39*0.85*8760)</f>
        <v>58927.644</v>
      </c>
      <c r="AA39" s="65">
        <f>('Plant Data'!$C39*0.85*8760)</f>
        <v>58927.644</v>
      </c>
      <c r="AB39" s="65">
        <f>('Plant Data'!$C39*0.85*8760)</f>
        <v>58927.644</v>
      </c>
      <c r="AC39" s="65">
        <f>('Plant Data'!$C39*0.85*8760)</f>
        <v>58927.644</v>
      </c>
      <c r="AD39" s="65">
        <f>('Plant Data'!$C39*0.85*8760)</f>
        <v>58927.644</v>
      </c>
      <c r="AE39" s="65">
        <f>('Plant Data'!$C39*0.85*8760)</f>
        <v>58927.644</v>
      </c>
      <c r="AF39" s="65">
        <f>('Plant Data'!$C39*0.85*8760)</f>
        <v>58927.644</v>
      </c>
      <c r="AG39" s="65">
        <f>('Plant Data'!$C39*0.85*8760)</f>
        <v>58927.644</v>
      </c>
      <c r="AH39" s="65">
        <f>('Plant Data'!$C39*0.85*8760)</f>
        <v>58927.644</v>
      </c>
      <c r="AI39" s="65">
        <f>('Plant Data'!$C39*0.85*8760)</f>
        <v>58927.644</v>
      </c>
      <c r="AJ39" s="65">
        <f>('Plant Data'!$C39*0.85*8760)</f>
        <v>58927.644</v>
      </c>
      <c r="AK39" s="65">
        <f>('Plant Data'!$C39*0.85*8760)</f>
        <v>58927.644</v>
      </c>
      <c r="AL39" s="65">
        <f>('Plant Data'!$C39*0.85*8760)</f>
        <v>58927.644</v>
      </c>
      <c r="AM39" s="65">
        <f>('Plant Data'!$C39*0.85*8760)</f>
        <v>58927.644</v>
      </c>
      <c r="AN39" s="65">
        <f>('Plant Data'!$C39*0.85*8760)</f>
        <v>58927.644</v>
      </c>
      <c r="AO39" s="65">
        <f>('Plant Data'!$C39*0.85*8760)</f>
        <v>58927.644</v>
      </c>
      <c r="AP39" s="65">
        <f>('Plant Data'!$C39*0.85*8760)</f>
        <v>58927.644</v>
      </c>
      <c r="AQ39" s="65">
        <f>('Plant Data'!$C39*0.85*8760)</f>
        <v>58927.644</v>
      </c>
      <c r="AR39" s="65">
        <f>('Plant Data'!$C39*0.85*8760)</f>
        <v>58927.644</v>
      </c>
      <c r="AS39" s="65">
        <f>('Plant Data'!$C39*0.85*8760)</f>
        <v>58927.644</v>
      </c>
      <c r="AT39" s="65">
        <f>('Plant Data'!$C39*0.85*8760)</f>
        <v>58927.644</v>
      </c>
      <c r="AU39" s="65">
        <f>('Plant Data'!$C39*0.85*8760)</f>
        <v>58927.644</v>
      </c>
    </row>
    <row r="40" spans="1:47" ht="15.75" customHeight="1" x14ac:dyDescent="0.2">
      <c r="A40" s="49" t="str">
        <f>IF('Plant Data'!A40="","",'Plant Data'!A40)</f>
        <v>Misamis Oriental power stationUnit 1</v>
      </c>
      <c r="B40" s="65">
        <f>('Plant Data'!C44*0.85*8760)</f>
        <v>58927.644</v>
      </c>
      <c r="C40" s="65">
        <f>('Plant Data'!$C40*0.85*8760)</f>
        <v>58927.644</v>
      </c>
      <c r="D40" s="65">
        <f>('Plant Data'!$C40*0.85*8760)</f>
        <v>58927.644</v>
      </c>
      <c r="E40" s="65">
        <f>('Plant Data'!$C40*0.85*8760)</f>
        <v>58927.644</v>
      </c>
      <c r="F40" s="65">
        <f>('Plant Data'!$C40*0.85*8760)</f>
        <v>58927.644</v>
      </c>
      <c r="G40" s="65">
        <f>('Plant Data'!$C40*0.85*8760)</f>
        <v>58927.644</v>
      </c>
      <c r="H40" s="65">
        <f>('Plant Data'!$C40*0.85*8760)</f>
        <v>58927.644</v>
      </c>
      <c r="I40" s="65">
        <f>('Plant Data'!$C40*0.85*8760)</f>
        <v>58927.644</v>
      </c>
      <c r="J40" s="65">
        <f>('Plant Data'!$C40*0.85*8760)</f>
        <v>58927.644</v>
      </c>
      <c r="K40" s="65">
        <f>('Plant Data'!$C40*0.85*8760)</f>
        <v>58927.644</v>
      </c>
      <c r="L40" s="65">
        <f>('Plant Data'!$C40*0.85*8760)</f>
        <v>58927.644</v>
      </c>
      <c r="M40" s="65">
        <f>('Plant Data'!$C40*0.85*8760)</f>
        <v>58927.644</v>
      </c>
      <c r="N40" s="65">
        <f>('Plant Data'!$C40*0.85*8760)</f>
        <v>58927.644</v>
      </c>
      <c r="O40" s="65">
        <f>('Plant Data'!$C40*0.85*8760)</f>
        <v>58927.644</v>
      </c>
      <c r="P40" s="65">
        <f>('Plant Data'!$C40*0.85*8760)</f>
        <v>58927.644</v>
      </c>
      <c r="Q40" s="65">
        <f>('Plant Data'!$C40*0.85*8760)</f>
        <v>58927.644</v>
      </c>
      <c r="R40" s="65">
        <f>('Plant Data'!$C40*0.85*8760)</f>
        <v>58927.644</v>
      </c>
      <c r="S40" s="65">
        <f>('Plant Data'!$C40*0.85*8760)</f>
        <v>58927.644</v>
      </c>
      <c r="T40" s="65">
        <f>('Plant Data'!$C40*0.85*8760)</f>
        <v>58927.644</v>
      </c>
      <c r="U40" s="65">
        <f>('Plant Data'!$C40*0.85*8760)</f>
        <v>58927.644</v>
      </c>
      <c r="V40" s="65">
        <f>('Plant Data'!$C40*0.85*8760)</f>
        <v>58927.644</v>
      </c>
      <c r="W40" s="65">
        <f>('Plant Data'!$C40*0.85*8760)</f>
        <v>58927.644</v>
      </c>
      <c r="X40" s="65">
        <f>('Plant Data'!$C40*0.85*8760)</f>
        <v>58927.644</v>
      </c>
      <c r="Y40" s="65">
        <f>('Plant Data'!$C40*0.85*8760)</f>
        <v>58927.644</v>
      </c>
      <c r="Z40" s="65">
        <f>('Plant Data'!$C40*0.85*8760)</f>
        <v>58927.644</v>
      </c>
      <c r="AA40" s="65">
        <f>('Plant Data'!$C40*0.85*8760)</f>
        <v>58927.644</v>
      </c>
      <c r="AB40" s="65">
        <f>('Plant Data'!$C40*0.85*8760)</f>
        <v>58927.644</v>
      </c>
      <c r="AC40" s="65">
        <f>('Plant Data'!$C40*0.85*8760)</f>
        <v>58927.644</v>
      </c>
      <c r="AD40" s="65">
        <f>('Plant Data'!$C40*0.85*8760)</f>
        <v>58927.644</v>
      </c>
      <c r="AE40" s="65">
        <f>('Plant Data'!$C40*0.85*8760)</f>
        <v>58927.644</v>
      </c>
      <c r="AF40" s="65">
        <f>('Plant Data'!$C40*0.85*8760)</f>
        <v>58927.644</v>
      </c>
      <c r="AG40" s="65">
        <f>('Plant Data'!$C40*0.85*8760)</f>
        <v>58927.644</v>
      </c>
      <c r="AH40" s="65">
        <f>('Plant Data'!$C40*0.85*8760)</f>
        <v>58927.644</v>
      </c>
      <c r="AI40" s="65">
        <f>('Plant Data'!$C40*0.85*8760)</f>
        <v>58927.644</v>
      </c>
      <c r="AJ40" s="65">
        <f>('Plant Data'!$C40*0.85*8760)</f>
        <v>58927.644</v>
      </c>
      <c r="AK40" s="65">
        <f>('Plant Data'!$C40*0.85*8760)</f>
        <v>58927.644</v>
      </c>
      <c r="AL40" s="65">
        <f>('Plant Data'!$C40*0.85*8760)</f>
        <v>58927.644</v>
      </c>
      <c r="AM40" s="65">
        <f>('Plant Data'!$C40*0.85*8760)</f>
        <v>58927.644</v>
      </c>
      <c r="AN40" s="65">
        <f>('Plant Data'!$C40*0.85*8760)</f>
        <v>58927.644</v>
      </c>
      <c r="AO40" s="65">
        <f>('Plant Data'!$C40*0.85*8760)</f>
        <v>58927.644</v>
      </c>
      <c r="AP40" s="65">
        <f>('Plant Data'!$C40*0.85*8760)</f>
        <v>58927.644</v>
      </c>
      <c r="AQ40" s="65">
        <f>('Plant Data'!$C40*0.85*8760)</f>
        <v>58927.644</v>
      </c>
      <c r="AR40" s="65">
        <f>('Plant Data'!$C40*0.85*8760)</f>
        <v>58927.644</v>
      </c>
      <c r="AS40" s="65">
        <f>('Plant Data'!$C40*0.85*8760)</f>
        <v>58927.644</v>
      </c>
      <c r="AT40" s="65">
        <f>('Plant Data'!$C40*0.85*8760)</f>
        <v>58927.644</v>
      </c>
      <c r="AU40" s="65">
        <f>('Plant Data'!$C40*0.85*8760)</f>
        <v>58927.644</v>
      </c>
    </row>
    <row r="41" spans="1:47" ht="15.75" customHeight="1" x14ac:dyDescent="0.2">
      <c r="A41" s="49" t="str">
        <f>IF('Plant Data'!A41="","",'Plant Data'!A41)</f>
        <v>Misamis Oriental power stationUnit 2</v>
      </c>
      <c r="B41" s="65">
        <f>('Plant Data'!C45*0.85*8760)</f>
        <v>58927.644</v>
      </c>
      <c r="C41" s="65">
        <f>('Plant Data'!$C41*0.85*8760)</f>
        <v>58927.644</v>
      </c>
      <c r="D41" s="65">
        <f>('Plant Data'!$C41*0.85*8760)</f>
        <v>58927.644</v>
      </c>
      <c r="E41" s="65">
        <f>('Plant Data'!$C41*0.85*8760)</f>
        <v>58927.644</v>
      </c>
      <c r="F41" s="65">
        <f>('Plant Data'!$C41*0.85*8760)</f>
        <v>58927.644</v>
      </c>
      <c r="G41" s="65">
        <f>('Plant Data'!$C41*0.85*8760)</f>
        <v>58927.644</v>
      </c>
      <c r="H41" s="65">
        <f>('Plant Data'!$C41*0.85*8760)</f>
        <v>58927.644</v>
      </c>
      <c r="I41" s="65">
        <f>('Plant Data'!$C41*0.85*8760)</f>
        <v>58927.644</v>
      </c>
      <c r="J41" s="65">
        <f>('Plant Data'!$C41*0.85*8760)</f>
        <v>58927.644</v>
      </c>
      <c r="K41" s="65">
        <f>('Plant Data'!$C41*0.85*8760)</f>
        <v>58927.644</v>
      </c>
      <c r="L41" s="65">
        <f>('Plant Data'!$C41*0.85*8760)</f>
        <v>58927.644</v>
      </c>
      <c r="M41" s="65">
        <f>('Plant Data'!$C41*0.85*8760)</f>
        <v>58927.644</v>
      </c>
      <c r="N41" s="65">
        <f>('Plant Data'!$C41*0.85*8760)</f>
        <v>58927.644</v>
      </c>
      <c r="O41" s="65">
        <f>('Plant Data'!$C41*0.85*8760)</f>
        <v>58927.644</v>
      </c>
      <c r="P41" s="65">
        <f>('Plant Data'!$C41*0.85*8760)</f>
        <v>58927.644</v>
      </c>
      <c r="Q41" s="65">
        <f>('Plant Data'!$C41*0.85*8760)</f>
        <v>58927.644</v>
      </c>
      <c r="R41" s="65">
        <f>('Plant Data'!$C41*0.85*8760)</f>
        <v>58927.644</v>
      </c>
      <c r="S41" s="65">
        <f>('Plant Data'!$C41*0.85*8760)</f>
        <v>58927.644</v>
      </c>
      <c r="T41" s="65">
        <f>('Plant Data'!$C41*0.85*8760)</f>
        <v>58927.644</v>
      </c>
      <c r="U41" s="65">
        <f>('Plant Data'!$C41*0.85*8760)</f>
        <v>58927.644</v>
      </c>
      <c r="V41" s="65">
        <f>('Plant Data'!$C41*0.85*8760)</f>
        <v>58927.644</v>
      </c>
      <c r="W41" s="65">
        <f>('Plant Data'!$C41*0.85*8760)</f>
        <v>58927.644</v>
      </c>
      <c r="X41" s="65">
        <f>('Plant Data'!$C41*0.85*8760)</f>
        <v>58927.644</v>
      </c>
      <c r="Y41" s="65">
        <f>('Plant Data'!$C41*0.85*8760)</f>
        <v>58927.644</v>
      </c>
      <c r="Z41" s="65">
        <f>('Plant Data'!$C41*0.85*8760)</f>
        <v>58927.644</v>
      </c>
      <c r="AA41" s="65">
        <f>('Plant Data'!$C41*0.85*8760)</f>
        <v>58927.644</v>
      </c>
      <c r="AB41" s="65">
        <f>('Plant Data'!$C41*0.85*8760)</f>
        <v>58927.644</v>
      </c>
      <c r="AC41" s="65">
        <f>('Plant Data'!$C41*0.85*8760)</f>
        <v>58927.644</v>
      </c>
      <c r="AD41" s="65">
        <f>('Plant Data'!$C41*0.85*8760)</f>
        <v>58927.644</v>
      </c>
      <c r="AE41" s="65">
        <f>('Plant Data'!$C41*0.85*8760)</f>
        <v>58927.644</v>
      </c>
      <c r="AF41" s="65">
        <f>('Plant Data'!$C41*0.85*8760)</f>
        <v>58927.644</v>
      </c>
      <c r="AG41" s="65">
        <f>('Plant Data'!$C41*0.85*8760)</f>
        <v>58927.644</v>
      </c>
      <c r="AH41" s="65">
        <f>('Plant Data'!$C41*0.85*8760)</f>
        <v>58927.644</v>
      </c>
      <c r="AI41" s="65">
        <f>('Plant Data'!$C41*0.85*8760)</f>
        <v>58927.644</v>
      </c>
      <c r="AJ41" s="65">
        <f>('Plant Data'!$C41*0.85*8760)</f>
        <v>58927.644</v>
      </c>
      <c r="AK41" s="65">
        <f>('Plant Data'!$C41*0.85*8760)</f>
        <v>58927.644</v>
      </c>
      <c r="AL41" s="65">
        <f>('Plant Data'!$C41*0.85*8760)</f>
        <v>58927.644</v>
      </c>
      <c r="AM41" s="65">
        <f>('Plant Data'!$C41*0.85*8760)</f>
        <v>58927.644</v>
      </c>
      <c r="AN41" s="65">
        <f>('Plant Data'!$C41*0.85*8760)</f>
        <v>58927.644</v>
      </c>
      <c r="AO41" s="65">
        <f>('Plant Data'!$C41*0.85*8760)</f>
        <v>58927.644</v>
      </c>
      <c r="AP41" s="65">
        <f>('Plant Data'!$C41*0.85*8760)</f>
        <v>58927.644</v>
      </c>
      <c r="AQ41" s="65">
        <f>('Plant Data'!$C41*0.85*8760)</f>
        <v>58927.644</v>
      </c>
      <c r="AR41" s="65">
        <f>('Plant Data'!$C41*0.85*8760)</f>
        <v>58927.644</v>
      </c>
      <c r="AS41" s="65">
        <f>('Plant Data'!$C41*0.85*8760)</f>
        <v>58927.644</v>
      </c>
      <c r="AT41" s="65">
        <f>('Plant Data'!$C41*0.85*8760)</f>
        <v>58927.644</v>
      </c>
      <c r="AU41" s="65">
        <f>('Plant Data'!$C41*0.85*8760)</f>
        <v>58927.644</v>
      </c>
    </row>
    <row r="42" spans="1:47" ht="15.75" customHeight="1" x14ac:dyDescent="0.2">
      <c r="A42" s="49" t="str">
        <f>IF('Plant Data'!A42="","",'Plant Data'!A42)</f>
        <v>Misamis Oriental power stationUnit 3</v>
      </c>
      <c r="B42" s="65">
        <f>('Plant Data'!C46*0.85*8760)</f>
        <v>58927.644</v>
      </c>
      <c r="C42" s="65">
        <f>('Plant Data'!$C42*0.85*8760)</f>
        <v>58927.644</v>
      </c>
      <c r="D42" s="65">
        <f>('Plant Data'!$C42*0.85*8760)</f>
        <v>58927.644</v>
      </c>
      <c r="E42" s="65">
        <f>('Plant Data'!$C42*0.85*8760)</f>
        <v>58927.644</v>
      </c>
      <c r="F42" s="65">
        <f>('Plant Data'!$C42*0.85*8760)</f>
        <v>58927.644</v>
      </c>
      <c r="G42" s="65">
        <f>('Plant Data'!$C42*0.85*8760)</f>
        <v>58927.644</v>
      </c>
      <c r="H42" s="65">
        <f>('Plant Data'!$C42*0.85*8760)</f>
        <v>58927.644</v>
      </c>
      <c r="I42" s="65">
        <f>('Plant Data'!$C42*0.85*8760)</f>
        <v>58927.644</v>
      </c>
      <c r="J42" s="65">
        <f>('Plant Data'!$C42*0.85*8760)</f>
        <v>58927.644</v>
      </c>
      <c r="K42" s="65">
        <f>('Plant Data'!$C42*0.85*8760)</f>
        <v>58927.644</v>
      </c>
      <c r="L42" s="65">
        <f>('Plant Data'!$C42*0.85*8760)</f>
        <v>58927.644</v>
      </c>
      <c r="M42" s="65">
        <f>('Plant Data'!$C42*0.85*8760)</f>
        <v>58927.644</v>
      </c>
      <c r="N42" s="65">
        <f>('Plant Data'!$C42*0.85*8760)</f>
        <v>58927.644</v>
      </c>
      <c r="O42" s="65">
        <f>('Plant Data'!$C42*0.85*8760)</f>
        <v>58927.644</v>
      </c>
      <c r="P42" s="65">
        <f>('Plant Data'!$C42*0.85*8760)</f>
        <v>58927.644</v>
      </c>
      <c r="Q42" s="65">
        <f>('Plant Data'!$C42*0.85*8760)</f>
        <v>58927.644</v>
      </c>
      <c r="R42" s="65">
        <f>('Plant Data'!$C42*0.85*8760)</f>
        <v>58927.644</v>
      </c>
      <c r="S42" s="65">
        <f>('Plant Data'!$C42*0.85*8760)</f>
        <v>58927.644</v>
      </c>
      <c r="T42" s="65">
        <f>('Plant Data'!$C42*0.85*8760)</f>
        <v>58927.644</v>
      </c>
      <c r="U42" s="65">
        <f>('Plant Data'!$C42*0.85*8760)</f>
        <v>58927.644</v>
      </c>
      <c r="V42" s="65">
        <f>('Plant Data'!$C42*0.85*8760)</f>
        <v>58927.644</v>
      </c>
      <c r="W42" s="65">
        <f>('Plant Data'!$C42*0.85*8760)</f>
        <v>58927.644</v>
      </c>
      <c r="X42" s="65">
        <f>('Plant Data'!$C42*0.85*8760)</f>
        <v>58927.644</v>
      </c>
      <c r="Y42" s="65">
        <f>('Plant Data'!$C42*0.85*8760)</f>
        <v>58927.644</v>
      </c>
      <c r="Z42" s="65">
        <f>('Plant Data'!$C42*0.85*8760)</f>
        <v>58927.644</v>
      </c>
      <c r="AA42" s="65">
        <f>('Plant Data'!$C42*0.85*8760)</f>
        <v>58927.644</v>
      </c>
      <c r="AB42" s="65">
        <f>('Plant Data'!$C42*0.85*8760)</f>
        <v>58927.644</v>
      </c>
      <c r="AC42" s="65">
        <f>('Plant Data'!$C42*0.85*8760)</f>
        <v>58927.644</v>
      </c>
      <c r="AD42" s="65">
        <f>('Plant Data'!$C42*0.85*8760)</f>
        <v>58927.644</v>
      </c>
      <c r="AE42" s="65">
        <f>('Plant Data'!$C42*0.85*8760)</f>
        <v>58927.644</v>
      </c>
      <c r="AF42" s="65">
        <f>('Plant Data'!$C42*0.85*8760)</f>
        <v>58927.644</v>
      </c>
      <c r="AG42" s="65">
        <f>('Plant Data'!$C42*0.85*8760)</f>
        <v>58927.644</v>
      </c>
      <c r="AH42" s="65">
        <f>('Plant Data'!$C42*0.85*8760)</f>
        <v>58927.644</v>
      </c>
      <c r="AI42" s="65">
        <f>('Plant Data'!$C42*0.85*8760)</f>
        <v>58927.644</v>
      </c>
      <c r="AJ42" s="65">
        <f>('Plant Data'!$C42*0.85*8760)</f>
        <v>58927.644</v>
      </c>
      <c r="AK42" s="65">
        <f>('Plant Data'!$C42*0.85*8760)</f>
        <v>58927.644</v>
      </c>
      <c r="AL42" s="65">
        <f>('Plant Data'!$C42*0.85*8760)</f>
        <v>58927.644</v>
      </c>
      <c r="AM42" s="65">
        <f>('Plant Data'!$C42*0.85*8760)</f>
        <v>58927.644</v>
      </c>
      <c r="AN42" s="65">
        <f>('Plant Data'!$C42*0.85*8760)</f>
        <v>58927.644</v>
      </c>
      <c r="AO42" s="65">
        <f>('Plant Data'!$C42*0.85*8760)</f>
        <v>58927.644</v>
      </c>
      <c r="AP42" s="65">
        <f>('Plant Data'!$C42*0.85*8760)</f>
        <v>58927.644</v>
      </c>
      <c r="AQ42" s="65">
        <f>('Plant Data'!$C42*0.85*8760)</f>
        <v>58927.644</v>
      </c>
      <c r="AR42" s="65">
        <f>('Plant Data'!$C42*0.85*8760)</f>
        <v>58927.644</v>
      </c>
      <c r="AS42" s="65">
        <f>('Plant Data'!$C42*0.85*8760)</f>
        <v>58927.644</v>
      </c>
      <c r="AT42" s="65">
        <f>('Plant Data'!$C42*0.85*8760)</f>
        <v>58927.644</v>
      </c>
      <c r="AU42" s="65">
        <f>('Plant Data'!$C42*0.85*8760)</f>
        <v>58927.644</v>
      </c>
    </row>
    <row r="43" spans="1:47" ht="15.75" customHeight="1" x14ac:dyDescent="0.2">
      <c r="A43" s="49" t="str">
        <f>IF('Plant Data'!A43="","",'Plant Data'!A43)</f>
        <v>Naga power stationUnit 2-1</v>
      </c>
      <c r="B43" s="65">
        <f>('Plant Data'!C47*0.85*8760)</f>
        <v>58927.644</v>
      </c>
      <c r="C43" s="65">
        <f>('Plant Data'!$C43*0.85*8760)</f>
        <v>58927.644</v>
      </c>
      <c r="D43" s="65">
        <f>('Plant Data'!$C43*0.85*8760)</f>
        <v>58927.644</v>
      </c>
      <c r="E43" s="65">
        <f>('Plant Data'!$C43*0.85*8760)</f>
        <v>58927.644</v>
      </c>
      <c r="F43" s="65">
        <f>('Plant Data'!$C43*0.85*8760)</f>
        <v>58927.644</v>
      </c>
      <c r="G43" s="65">
        <f>('Plant Data'!$C43*0.85*8760)</f>
        <v>58927.644</v>
      </c>
      <c r="H43" s="65">
        <f>('Plant Data'!$C43*0.85*8760)</f>
        <v>58927.644</v>
      </c>
      <c r="I43" s="65">
        <f>('Plant Data'!$C43*0.85*8760)</f>
        <v>58927.644</v>
      </c>
      <c r="J43" s="65">
        <f>('Plant Data'!$C43*0.85*8760)</f>
        <v>58927.644</v>
      </c>
      <c r="K43" s="65">
        <f>('Plant Data'!$C43*0.85*8760)</f>
        <v>58927.644</v>
      </c>
      <c r="L43" s="65">
        <f>('Plant Data'!$C43*0.85*8760)</f>
        <v>58927.644</v>
      </c>
      <c r="M43" s="65">
        <f>('Plant Data'!$C43*0.85*8760)</f>
        <v>58927.644</v>
      </c>
      <c r="N43" s="65">
        <f>('Plant Data'!$C43*0.85*8760)</f>
        <v>58927.644</v>
      </c>
      <c r="O43" s="65">
        <f>('Plant Data'!$C43*0.85*8760)</f>
        <v>58927.644</v>
      </c>
      <c r="P43" s="65">
        <f>('Plant Data'!$C43*0.85*8760)</f>
        <v>58927.644</v>
      </c>
      <c r="Q43" s="65">
        <f>('Plant Data'!$C43*0.85*8760)</f>
        <v>58927.644</v>
      </c>
      <c r="R43" s="65">
        <f>('Plant Data'!$C43*0.85*8760)</f>
        <v>58927.644</v>
      </c>
      <c r="S43" s="65">
        <f>('Plant Data'!$C43*0.85*8760)</f>
        <v>58927.644</v>
      </c>
      <c r="T43" s="65">
        <f>('Plant Data'!$C43*0.85*8760)</f>
        <v>58927.644</v>
      </c>
      <c r="U43" s="65">
        <f>('Plant Data'!$C43*0.85*8760)</f>
        <v>58927.644</v>
      </c>
      <c r="V43" s="65">
        <f>('Plant Data'!$C43*0.85*8760)</f>
        <v>58927.644</v>
      </c>
      <c r="W43" s="65">
        <f>('Plant Data'!$C43*0.85*8760)</f>
        <v>58927.644</v>
      </c>
      <c r="X43" s="65">
        <f>('Plant Data'!$C43*0.85*8760)</f>
        <v>58927.644</v>
      </c>
      <c r="Y43" s="65">
        <f>('Plant Data'!$C43*0.85*8760)</f>
        <v>58927.644</v>
      </c>
      <c r="Z43" s="65">
        <f>('Plant Data'!$C43*0.85*8760)</f>
        <v>58927.644</v>
      </c>
      <c r="AA43" s="65">
        <f>('Plant Data'!$C43*0.85*8760)</f>
        <v>58927.644</v>
      </c>
      <c r="AB43" s="65">
        <f>('Plant Data'!$C43*0.85*8760)</f>
        <v>58927.644</v>
      </c>
      <c r="AC43" s="65">
        <f>('Plant Data'!$C43*0.85*8760)</f>
        <v>58927.644</v>
      </c>
      <c r="AD43" s="65">
        <f>('Plant Data'!$C43*0.85*8760)</f>
        <v>58927.644</v>
      </c>
      <c r="AE43" s="65">
        <f>('Plant Data'!$C43*0.85*8760)</f>
        <v>58927.644</v>
      </c>
      <c r="AF43" s="65">
        <f>('Plant Data'!$C43*0.85*8760)</f>
        <v>58927.644</v>
      </c>
      <c r="AG43" s="65">
        <f>('Plant Data'!$C43*0.85*8760)</f>
        <v>58927.644</v>
      </c>
      <c r="AH43" s="65">
        <f>('Plant Data'!$C43*0.85*8760)</f>
        <v>58927.644</v>
      </c>
      <c r="AI43" s="65">
        <f>('Plant Data'!$C43*0.85*8760)</f>
        <v>58927.644</v>
      </c>
      <c r="AJ43" s="65">
        <f>('Plant Data'!$C43*0.85*8760)</f>
        <v>58927.644</v>
      </c>
      <c r="AK43" s="65">
        <f>('Plant Data'!$C43*0.85*8760)</f>
        <v>58927.644</v>
      </c>
      <c r="AL43" s="65">
        <f>('Plant Data'!$C43*0.85*8760)</f>
        <v>58927.644</v>
      </c>
      <c r="AM43" s="65">
        <f>('Plant Data'!$C43*0.85*8760)</f>
        <v>58927.644</v>
      </c>
      <c r="AN43" s="65">
        <f>('Plant Data'!$C43*0.85*8760)</f>
        <v>58927.644</v>
      </c>
      <c r="AO43" s="65">
        <f>('Plant Data'!$C43*0.85*8760)</f>
        <v>58927.644</v>
      </c>
      <c r="AP43" s="65">
        <f>('Plant Data'!$C43*0.85*8760)</f>
        <v>58927.644</v>
      </c>
      <c r="AQ43" s="65">
        <f>('Plant Data'!$C43*0.85*8760)</f>
        <v>58927.644</v>
      </c>
      <c r="AR43" s="65">
        <f>('Plant Data'!$C43*0.85*8760)</f>
        <v>58927.644</v>
      </c>
      <c r="AS43" s="65">
        <f>('Plant Data'!$C43*0.85*8760)</f>
        <v>58927.644</v>
      </c>
      <c r="AT43" s="65">
        <f>('Plant Data'!$C43*0.85*8760)</f>
        <v>58927.644</v>
      </c>
      <c r="AU43" s="65">
        <f>('Plant Data'!$C43*0.85*8760)</f>
        <v>58927.644</v>
      </c>
    </row>
    <row r="44" spans="1:47" ht="15.75" customHeight="1" x14ac:dyDescent="0.2">
      <c r="A44" s="49" t="str">
        <f>IF('Plant Data'!A44="","",'Plant Data'!A44)</f>
        <v>Naga power stationUnit 2-2</v>
      </c>
      <c r="B44" s="65">
        <f>('Plant Data'!C48*0.85*8760)</f>
        <v>58927.644</v>
      </c>
      <c r="C44" s="65">
        <f>('Plant Data'!$C44*0.85*8760)</f>
        <v>58927.644</v>
      </c>
      <c r="D44" s="65">
        <f>('Plant Data'!$C44*0.85*8760)</f>
        <v>58927.644</v>
      </c>
      <c r="E44" s="65">
        <f>('Plant Data'!$C44*0.85*8760)</f>
        <v>58927.644</v>
      </c>
      <c r="F44" s="65">
        <f>('Plant Data'!$C44*0.85*8760)</f>
        <v>58927.644</v>
      </c>
      <c r="G44" s="65">
        <f>('Plant Data'!$C44*0.85*8760)</f>
        <v>58927.644</v>
      </c>
      <c r="H44" s="65">
        <f>('Plant Data'!$C44*0.85*8760)</f>
        <v>58927.644</v>
      </c>
      <c r="I44" s="65">
        <f>('Plant Data'!$C44*0.85*8760)</f>
        <v>58927.644</v>
      </c>
      <c r="J44" s="65">
        <f>('Plant Data'!$C44*0.85*8760)</f>
        <v>58927.644</v>
      </c>
      <c r="K44" s="65">
        <f>('Plant Data'!$C44*0.85*8760)</f>
        <v>58927.644</v>
      </c>
      <c r="L44" s="65">
        <f>('Plant Data'!$C44*0.85*8760)</f>
        <v>58927.644</v>
      </c>
      <c r="M44" s="65">
        <f>('Plant Data'!$C44*0.85*8760)</f>
        <v>58927.644</v>
      </c>
      <c r="N44" s="65">
        <f>('Plant Data'!$C44*0.85*8760)</f>
        <v>58927.644</v>
      </c>
      <c r="O44" s="65">
        <f>('Plant Data'!$C44*0.85*8760)</f>
        <v>58927.644</v>
      </c>
      <c r="P44" s="65">
        <f>('Plant Data'!$C44*0.85*8760)</f>
        <v>58927.644</v>
      </c>
      <c r="Q44" s="65">
        <f>('Plant Data'!$C44*0.85*8760)</f>
        <v>58927.644</v>
      </c>
      <c r="R44" s="65">
        <f>('Plant Data'!$C44*0.85*8760)</f>
        <v>58927.644</v>
      </c>
      <c r="S44" s="65">
        <f>('Plant Data'!$C44*0.85*8760)</f>
        <v>58927.644</v>
      </c>
      <c r="T44" s="65">
        <f>('Plant Data'!$C44*0.85*8760)</f>
        <v>58927.644</v>
      </c>
      <c r="U44" s="65">
        <f>('Plant Data'!$C44*0.85*8760)</f>
        <v>58927.644</v>
      </c>
      <c r="V44" s="65">
        <f>('Plant Data'!$C44*0.85*8760)</f>
        <v>58927.644</v>
      </c>
      <c r="W44" s="65">
        <f>('Plant Data'!$C44*0.85*8760)</f>
        <v>58927.644</v>
      </c>
      <c r="X44" s="65">
        <f>('Plant Data'!$C44*0.85*8760)</f>
        <v>58927.644</v>
      </c>
      <c r="Y44" s="65">
        <f>('Plant Data'!$C44*0.85*8760)</f>
        <v>58927.644</v>
      </c>
      <c r="Z44" s="65">
        <f>('Plant Data'!$C44*0.85*8760)</f>
        <v>58927.644</v>
      </c>
      <c r="AA44" s="65">
        <f>('Plant Data'!$C44*0.85*8760)</f>
        <v>58927.644</v>
      </c>
      <c r="AB44" s="65">
        <f>('Plant Data'!$C44*0.85*8760)</f>
        <v>58927.644</v>
      </c>
      <c r="AC44" s="65">
        <f>('Plant Data'!$C44*0.85*8760)</f>
        <v>58927.644</v>
      </c>
      <c r="AD44" s="65">
        <f>('Plant Data'!$C44*0.85*8760)</f>
        <v>58927.644</v>
      </c>
      <c r="AE44" s="65">
        <f>('Plant Data'!$C44*0.85*8760)</f>
        <v>58927.644</v>
      </c>
      <c r="AF44" s="65">
        <f>('Plant Data'!$C44*0.85*8760)</f>
        <v>58927.644</v>
      </c>
      <c r="AG44" s="65">
        <f>('Plant Data'!$C44*0.85*8760)</f>
        <v>58927.644</v>
      </c>
      <c r="AH44" s="65">
        <f>('Plant Data'!$C44*0.85*8760)</f>
        <v>58927.644</v>
      </c>
      <c r="AI44" s="65">
        <f>('Plant Data'!$C44*0.85*8760)</f>
        <v>58927.644</v>
      </c>
      <c r="AJ44" s="65">
        <f>('Plant Data'!$C44*0.85*8760)</f>
        <v>58927.644</v>
      </c>
      <c r="AK44" s="65">
        <f>('Plant Data'!$C44*0.85*8760)</f>
        <v>58927.644</v>
      </c>
      <c r="AL44" s="65">
        <f>('Plant Data'!$C44*0.85*8760)</f>
        <v>58927.644</v>
      </c>
      <c r="AM44" s="65">
        <f>('Plant Data'!$C44*0.85*8760)</f>
        <v>58927.644</v>
      </c>
      <c r="AN44" s="65">
        <f>('Plant Data'!$C44*0.85*8760)</f>
        <v>58927.644</v>
      </c>
      <c r="AO44" s="65">
        <f>('Plant Data'!$C44*0.85*8760)</f>
        <v>58927.644</v>
      </c>
      <c r="AP44" s="65">
        <f>('Plant Data'!$C44*0.85*8760)</f>
        <v>58927.644</v>
      </c>
      <c r="AQ44" s="65">
        <f>('Plant Data'!$C44*0.85*8760)</f>
        <v>58927.644</v>
      </c>
      <c r="AR44" s="65">
        <f>('Plant Data'!$C44*0.85*8760)</f>
        <v>58927.644</v>
      </c>
      <c r="AS44" s="65">
        <f>('Plant Data'!$C44*0.85*8760)</f>
        <v>58927.644</v>
      </c>
      <c r="AT44" s="65">
        <f>('Plant Data'!$C44*0.85*8760)</f>
        <v>58927.644</v>
      </c>
      <c r="AU44" s="65">
        <f>('Plant Data'!$C44*0.85*8760)</f>
        <v>58927.644</v>
      </c>
    </row>
    <row r="45" spans="1:47" ht="15.75" customHeight="1" x14ac:dyDescent="0.2">
      <c r="A45" s="49" t="str">
        <f>IF('Plant Data'!A45="","",'Plant Data'!A45)</f>
        <v>Pagbilao power stationUnit 1</v>
      </c>
      <c r="B45" s="65">
        <f>('Plant Data'!C49*0.85*8760)</f>
        <v>58927.644</v>
      </c>
      <c r="C45" s="65">
        <f>('Plant Data'!$C45*0.85*8760)</f>
        <v>58927.644</v>
      </c>
      <c r="D45" s="65">
        <f>('Plant Data'!$C45*0.85*8760)</f>
        <v>58927.644</v>
      </c>
      <c r="E45" s="65">
        <f>('Plant Data'!$C45*0.85*8760)</f>
        <v>58927.644</v>
      </c>
      <c r="F45" s="65">
        <f>('Plant Data'!$C45*0.85*8760)</f>
        <v>58927.644</v>
      </c>
      <c r="G45" s="65">
        <f>('Plant Data'!$C45*0.85*8760)</f>
        <v>58927.644</v>
      </c>
      <c r="H45" s="65">
        <f>('Plant Data'!$C45*0.85*8760)</f>
        <v>58927.644</v>
      </c>
      <c r="I45" s="65">
        <f>('Plant Data'!$C45*0.85*8760)</f>
        <v>58927.644</v>
      </c>
      <c r="J45" s="65">
        <f>('Plant Data'!$C45*0.85*8760)</f>
        <v>58927.644</v>
      </c>
      <c r="K45" s="65">
        <f>('Plant Data'!$C45*0.85*8760)</f>
        <v>58927.644</v>
      </c>
      <c r="L45" s="65">
        <f>('Plant Data'!$C45*0.85*8760)</f>
        <v>58927.644</v>
      </c>
      <c r="M45" s="65">
        <f>('Plant Data'!$C45*0.85*8760)</f>
        <v>58927.644</v>
      </c>
      <c r="N45" s="65">
        <f>('Plant Data'!$C45*0.85*8760)</f>
        <v>58927.644</v>
      </c>
      <c r="O45" s="65">
        <f>('Plant Data'!$C45*0.85*8760)</f>
        <v>58927.644</v>
      </c>
      <c r="P45" s="65">
        <f>('Plant Data'!$C45*0.85*8760)</f>
        <v>58927.644</v>
      </c>
      <c r="Q45" s="65">
        <f>('Plant Data'!$C45*0.85*8760)</f>
        <v>58927.644</v>
      </c>
      <c r="R45" s="65">
        <f>('Plant Data'!$C45*0.85*8760)</f>
        <v>58927.644</v>
      </c>
      <c r="S45" s="65">
        <f>('Plant Data'!$C45*0.85*8760)</f>
        <v>58927.644</v>
      </c>
      <c r="T45" s="65">
        <f>('Plant Data'!$C45*0.85*8760)</f>
        <v>58927.644</v>
      </c>
      <c r="U45" s="65">
        <f>('Plant Data'!$C45*0.85*8760)</f>
        <v>58927.644</v>
      </c>
      <c r="V45" s="65">
        <f>('Plant Data'!$C45*0.85*8760)</f>
        <v>58927.644</v>
      </c>
      <c r="W45" s="65">
        <f>('Plant Data'!$C45*0.85*8760)</f>
        <v>58927.644</v>
      </c>
      <c r="X45" s="65">
        <f>('Plant Data'!$C45*0.85*8760)</f>
        <v>58927.644</v>
      </c>
      <c r="Y45" s="65">
        <f>('Plant Data'!$C45*0.85*8760)</f>
        <v>58927.644</v>
      </c>
      <c r="Z45" s="65">
        <f>('Plant Data'!$C45*0.85*8760)</f>
        <v>58927.644</v>
      </c>
      <c r="AA45" s="65">
        <f>('Plant Data'!$C45*0.85*8760)</f>
        <v>58927.644</v>
      </c>
      <c r="AB45" s="65">
        <f>('Plant Data'!$C45*0.85*8760)</f>
        <v>58927.644</v>
      </c>
      <c r="AC45" s="65">
        <f>('Plant Data'!$C45*0.85*8760)</f>
        <v>58927.644</v>
      </c>
      <c r="AD45" s="65">
        <f>('Plant Data'!$C45*0.85*8760)</f>
        <v>58927.644</v>
      </c>
      <c r="AE45" s="65">
        <f>('Plant Data'!$C45*0.85*8760)</f>
        <v>58927.644</v>
      </c>
      <c r="AF45" s="65">
        <f>('Plant Data'!$C45*0.85*8760)</f>
        <v>58927.644</v>
      </c>
      <c r="AG45" s="65">
        <f>('Plant Data'!$C45*0.85*8760)</f>
        <v>58927.644</v>
      </c>
      <c r="AH45" s="65">
        <f>('Plant Data'!$C45*0.85*8760)</f>
        <v>58927.644</v>
      </c>
      <c r="AI45" s="65">
        <f>('Plant Data'!$C45*0.85*8760)</f>
        <v>58927.644</v>
      </c>
      <c r="AJ45" s="65">
        <f>('Plant Data'!$C45*0.85*8760)</f>
        <v>58927.644</v>
      </c>
      <c r="AK45" s="65">
        <f>('Plant Data'!$C45*0.85*8760)</f>
        <v>58927.644</v>
      </c>
      <c r="AL45" s="65">
        <f>('Plant Data'!$C45*0.85*8760)</f>
        <v>58927.644</v>
      </c>
      <c r="AM45" s="65">
        <f>('Plant Data'!$C45*0.85*8760)</f>
        <v>58927.644</v>
      </c>
      <c r="AN45" s="65">
        <f>('Plant Data'!$C45*0.85*8760)</f>
        <v>58927.644</v>
      </c>
      <c r="AO45" s="65">
        <f>('Plant Data'!$C45*0.85*8760)</f>
        <v>58927.644</v>
      </c>
      <c r="AP45" s="65">
        <f>('Plant Data'!$C45*0.85*8760)</f>
        <v>58927.644</v>
      </c>
      <c r="AQ45" s="65">
        <f>('Plant Data'!$C45*0.85*8760)</f>
        <v>58927.644</v>
      </c>
      <c r="AR45" s="65">
        <f>('Plant Data'!$C45*0.85*8760)</f>
        <v>58927.644</v>
      </c>
      <c r="AS45" s="65">
        <f>('Plant Data'!$C45*0.85*8760)</f>
        <v>58927.644</v>
      </c>
      <c r="AT45" s="65">
        <f>('Plant Data'!$C45*0.85*8760)</f>
        <v>58927.644</v>
      </c>
      <c r="AU45" s="65">
        <f>('Plant Data'!$C45*0.85*8760)</f>
        <v>58927.644</v>
      </c>
    </row>
    <row r="46" spans="1:47" ht="15.75" customHeight="1" x14ac:dyDescent="0.2">
      <c r="A46" s="49" t="str">
        <f>IF('Plant Data'!A46="","",'Plant Data'!A46)</f>
        <v>Pagbilao power stationUnit 2</v>
      </c>
      <c r="B46" s="65">
        <f>('Plant Data'!C50*0.85*8760)</f>
        <v>58927.644</v>
      </c>
      <c r="C46" s="65">
        <f>('Plant Data'!$C46*0.85*8760)</f>
        <v>58927.644</v>
      </c>
      <c r="D46" s="65">
        <f>('Plant Data'!$C46*0.85*8760)</f>
        <v>58927.644</v>
      </c>
      <c r="E46" s="65">
        <f>('Plant Data'!$C46*0.85*8760)</f>
        <v>58927.644</v>
      </c>
      <c r="F46" s="65">
        <f>('Plant Data'!$C46*0.85*8760)</f>
        <v>58927.644</v>
      </c>
      <c r="G46" s="65">
        <f>('Plant Data'!$C46*0.85*8760)</f>
        <v>58927.644</v>
      </c>
      <c r="H46" s="65">
        <f>('Plant Data'!$C46*0.85*8760)</f>
        <v>58927.644</v>
      </c>
      <c r="I46" s="65">
        <f>('Plant Data'!$C46*0.85*8760)</f>
        <v>58927.644</v>
      </c>
      <c r="J46" s="65">
        <f>('Plant Data'!$C46*0.85*8760)</f>
        <v>58927.644</v>
      </c>
      <c r="K46" s="65">
        <f>('Plant Data'!$C46*0.85*8760)</f>
        <v>58927.644</v>
      </c>
      <c r="L46" s="65">
        <f>('Plant Data'!$C46*0.85*8760)</f>
        <v>58927.644</v>
      </c>
      <c r="M46" s="65">
        <f>('Plant Data'!$C46*0.85*8760)</f>
        <v>58927.644</v>
      </c>
      <c r="N46" s="65">
        <f>('Plant Data'!$C46*0.85*8760)</f>
        <v>58927.644</v>
      </c>
      <c r="O46" s="65">
        <f>('Plant Data'!$C46*0.85*8760)</f>
        <v>58927.644</v>
      </c>
      <c r="P46" s="65">
        <f>('Plant Data'!$C46*0.85*8760)</f>
        <v>58927.644</v>
      </c>
      <c r="Q46" s="65">
        <f>('Plant Data'!$C46*0.85*8760)</f>
        <v>58927.644</v>
      </c>
      <c r="R46" s="65">
        <f>('Plant Data'!$C46*0.85*8760)</f>
        <v>58927.644</v>
      </c>
      <c r="S46" s="65">
        <f>('Plant Data'!$C46*0.85*8760)</f>
        <v>58927.644</v>
      </c>
      <c r="T46" s="65">
        <f>('Plant Data'!$C46*0.85*8760)</f>
        <v>58927.644</v>
      </c>
      <c r="U46" s="65">
        <f>('Plant Data'!$C46*0.85*8760)</f>
        <v>58927.644</v>
      </c>
      <c r="V46" s="65">
        <f>('Plant Data'!$C46*0.85*8760)</f>
        <v>58927.644</v>
      </c>
      <c r="W46" s="65">
        <f>('Plant Data'!$C46*0.85*8760)</f>
        <v>58927.644</v>
      </c>
      <c r="X46" s="65">
        <f>('Plant Data'!$C46*0.85*8760)</f>
        <v>58927.644</v>
      </c>
      <c r="Y46" s="65">
        <f>('Plant Data'!$C46*0.85*8760)</f>
        <v>58927.644</v>
      </c>
      <c r="Z46" s="65">
        <f>('Plant Data'!$C46*0.85*8760)</f>
        <v>58927.644</v>
      </c>
      <c r="AA46" s="65">
        <f>('Plant Data'!$C46*0.85*8760)</f>
        <v>58927.644</v>
      </c>
      <c r="AB46" s="65">
        <f>('Plant Data'!$C46*0.85*8760)</f>
        <v>58927.644</v>
      </c>
      <c r="AC46" s="65">
        <f>('Plant Data'!$C46*0.85*8760)</f>
        <v>58927.644</v>
      </c>
      <c r="AD46" s="65">
        <f>('Plant Data'!$C46*0.85*8760)</f>
        <v>58927.644</v>
      </c>
      <c r="AE46" s="65">
        <f>('Plant Data'!$C46*0.85*8760)</f>
        <v>58927.644</v>
      </c>
      <c r="AF46" s="65">
        <f>('Plant Data'!$C46*0.85*8760)</f>
        <v>58927.644</v>
      </c>
      <c r="AG46" s="65">
        <f>('Plant Data'!$C46*0.85*8760)</f>
        <v>58927.644</v>
      </c>
      <c r="AH46" s="65">
        <f>('Plant Data'!$C46*0.85*8760)</f>
        <v>58927.644</v>
      </c>
      <c r="AI46" s="65">
        <f>('Plant Data'!$C46*0.85*8760)</f>
        <v>58927.644</v>
      </c>
      <c r="AJ46" s="65">
        <f>('Plant Data'!$C46*0.85*8760)</f>
        <v>58927.644</v>
      </c>
      <c r="AK46" s="65">
        <f>('Plant Data'!$C46*0.85*8760)</f>
        <v>58927.644</v>
      </c>
      <c r="AL46" s="65">
        <f>('Plant Data'!$C46*0.85*8760)</f>
        <v>58927.644</v>
      </c>
      <c r="AM46" s="65">
        <f>('Plant Data'!$C46*0.85*8760)</f>
        <v>58927.644</v>
      </c>
      <c r="AN46" s="65">
        <f>('Plant Data'!$C46*0.85*8760)</f>
        <v>58927.644</v>
      </c>
      <c r="AO46" s="65">
        <f>('Plant Data'!$C46*0.85*8760)</f>
        <v>58927.644</v>
      </c>
      <c r="AP46" s="65">
        <f>('Plant Data'!$C46*0.85*8760)</f>
        <v>58927.644</v>
      </c>
      <c r="AQ46" s="65">
        <f>('Plant Data'!$C46*0.85*8760)</f>
        <v>58927.644</v>
      </c>
      <c r="AR46" s="65">
        <f>('Plant Data'!$C46*0.85*8760)</f>
        <v>58927.644</v>
      </c>
      <c r="AS46" s="65">
        <f>('Plant Data'!$C46*0.85*8760)</f>
        <v>58927.644</v>
      </c>
      <c r="AT46" s="65">
        <f>('Plant Data'!$C46*0.85*8760)</f>
        <v>58927.644</v>
      </c>
      <c r="AU46" s="65">
        <f>('Plant Data'!$C46*0.85*8760)</f>
        <v>58927.644</v>
      </c>
    </row>
    <row r="47" spans="1:47" ht="15.75" customHeight="1" x14ac:dyDescent="0.2">
      <c r="A47" s="49" t="str">
        <f>IF('Plant Data'!A47="","",'Plant Data'!A47)</f>
        <v>Pagbilao power stationUnit 3</v>
      </c>
      <c r="B47" s="65">
        <f>('Plant Data'!C51*0.85*8760)</f>
        <v>58927.644</v>
      </c>
      <c r="C47" s="65">
        <f>('Plant Data'!$C47*0.85*8760)</f>
        <v>58927.644</v>
      </c>
      <c r="D47" s="65">
        <f>('Plant Data'!$C47*0.85*8760)</f>
        <v>58927.644</v>
      </c>
      <c r="E47" s="65">
        <f>('Plant Data'!$C47*0.85*8760)</f>
        <v>58927.644</v>
      </c>
      <c r="F47" s="65">
        <f>('Plant Data'!$C47*0.85*8760)</f>
        <v>58927.644</v>
      </c>
      <c r="G47" s="65">
        <f>('Plant Data'!$C47*0.85*8760)</f>
        <v>58927.644</v>
      </c>
      <c r="H47" s="65">
        <f>('Plant Data'!$C47*0.85*8760)</f>
        <v>58927.644</v>
      </c>
      <c r="I47" s="65">
        <f>('Plant Data'!$C47*0.85*8760)</f>
        <v>58927.644</v>
      </c>
      <c r="J47" s="65">
        <f>('Plant Data'!$C47*0.85*8760)</f>
        <v>58927.644</v>
      </c>
      <c r="K47" s="65">
        <f>('Plant Data'!$C47*0.85*8760)</f>
        <v>58927.644</v>
      </c>
      <c r="L47" s="65">
        <f>('Plant Data'!$C47*0.85*8760)</f>
        <v>58927.644</v>
      </c>
      <c r="M47" s="65">
        <f>('Plant Data'!$C47*0.85*8760)</f>
        <v>58927.644</v>
      </c>
      <c r="N47" s="65">
        <f>('Plant Data'!$C47*0.85*8760)</f>
        <v>58927.644</v>
      </c>
      <c r="O47" s="65">
        <f>('Plant Data'!$C47*0.85*8760)</f>
        <v>58927.644</v>
      </c>
      <c r="P47" s="65">
        <f>('Plant Data'!$C47*0.85*8760)</f>
        <v>58927.644</v>
      </c>
      <c r="Q47" s="65">
        <f>('Plant Data'!$C47*0.85*8760)</f>
        <v>58927.644</v>
      </c>
      <c r="R47" s="65">
        <f>('Plant Data'!$C47*0.85*8760)</f>
        <v>58927.644</v>
      </c>
      <c r="S47" s="65">
        <f>('Plant Data'!$C47*0.85*8760)</f>
        <v>58927.644</v>
      </c>
      <c r="T47" s="65">
        <f>('Plant Data'!$C47*0.85*8760)</f>
        <v>58927.644</v>
      </c>
      <c r="U47" s="65">
        <f>('Plant Data'!$C47*0.85*8760)</f>
        <v>58927.644</v>
      </c>
      <c r="V47" s="65">
        <f>('Plant Data'!$C47*0.85*8760)</f>
        <v>58927.644</v>
      </c>
      <c r="W47" s="65">
        <f>('Plant Data'!$C47*0.85*8760)</f>
        <v>58927.644</v>
      </c>
      <c r="X47" s="65">
        <f>('Plant Data'!$C47*0.85*8760)</f>
        <v>58927.644</v>
      </c>
      <c r="Y47" s="65">
        <f>('Plant Data'!$C47*0.85*8760)</f>
        <v>58927.644</v>
      </c>
      <c r="Z47" s="65">
        <f>('Plant Data'!$C47*0.85*8760)</f>
        <v>58927.644</v>
      </c>
      <c r="AA47" s="65">
        <f>('Plant Data'!$C47*0.85*8760)</f>
        <v>58927.644</v>
      </c>
      <c r="AB47" s="65">
        <f>('Plant Data'!$C47*0.85*8760)</f>
        <v>58927.644</v>
      </c>
      <c r="AC47" s="65">
        <f>('Plant Data'!$C47*0.85*8760)</f>
        <v>58927.644</v>
      </c>
      <c r="AD47" s="65">
        <f>('Plant Data'!$C47*0.85*8760)</f>
        <v>58927.644</v>
      </c>
      <c r="AE47" s="65">
        <f>('Plant Data'!$C47*0.85*8760)</f>
        <v>58927.644</v>
      </c>
      <c r="AF47" s="65">
        <f>('Plant Data'!$C47*0.85*8760)</f>
        <v>58927.644</v>
      </c>
      <c r="AG47" s="65">
        <f>('Plant Data'!$C47*0.85*8760)</f>
        <v>58927.644</v>
      </c>
      <c r="AH47" s="65">
        <f>('Plant Data'!$C47*0.85*8760)</f>
        <v>58927.644</v>
      </c>
      <c r="AI47" s="65">
        <f>('Plant Data'!$C47*0.85*8760)</f>
        <v>58927.644</v>
      </c>
      <c r="AJ47" s="65">
        <f>('Plant Data'!$C47*0.85*8760)</f>
        <v>58927.644</v>
      </c>
      <c r="AK47" s="65">
        <f>('Plant Data'!$C47*0.85*8760)</f>
        <v>58927.644</v>
      </c>
      <c r="AL47" s="65">
        <f>('Plant Data'!$C47*0.85*8760)</f>
        <v>58927.644</v>
      </c>
      <c r="AM47" s="65">
        <f>('Plant Data'!$C47*0.85*8760)</f>
        <v>58927.644</v>
      </c>
      <c r="AN47" s="65">
        <f>('Plant Data'!$C47*0.85*8760)</f>
        <v>58927.644</v>
      </c>
      <c r="AO47" s="65">
        <f>('Plant Data'!$C47*0.85*8760)</f>
        <v>58927.644</v>
      </c>
      <c r="AP47" s="65">
        <f>('Plant Data'!$C47*0.85*8760)</f>
        <v>58927.644</v>
      </c>
      <c r="AQ47" s="65">
        <f>('Plant Data'!$C47*0.85*8760)</f>
        <v>58927.644</v>
      </c>
      <c r="AR47" s="65">
        <f>('Plant Data'!$C47*0.85*8760)</f>
        <v>58927.644</v>
      </c>
      <c r="AS47" s="65">
        <f>('Plant Data'!$C47*0.85*8760)</f>
        <v>58927.644</v>
      </c>
      <c r="AT47" s="65">
        <f>('Plant Data'!$C47*0.85*8760)</f>
        <v>58927.644</v>
      </c>
      <c r="AU47" s="65">
        <f>('Plant Data'!$C47*0.85*8760)</f>
        <v>58927.644</v>
      </c>
    </row>
    <row r="48" spans="1:47" ht="15.75" customHeight="1" x14ac:dyDescent="0.2">
      <c r="A48" s="49" t="str">
        <f>IF('Plant Data'!A48="","",'Plant Data'!A48)</f>
        <v>Panay power stationUnit 1</v>
      </c>
      <c r="B48" s="65">
        <f>('Plant Data'!C52*0.85*8760)</f>
        <v>58927.644</v>
      </c>
      <c r="C48" s="65">
        <f>('Plant Data'!$C48*0.85*8760)</f>
        <v>58927.644</v>
      </c>
      <c r="D48" s="65">
        <f>('Plant Data'!$C48*0.85*8760)</f>
        <v>58927.644</v>
      </c>
      <c r="E48" s="65">
        <f>('Plant Data'!$C48*0.85*8760)</f>
        <v>58927.644</v>
      </c>
      <c r="F48" s="65">
        <f>('Plant Data'!$C48*0.85*8760)</f>
        <v>58927.644</v>
      </c>
      <c r="G48" s="65">
        <f>('Plant Data'!$C48*0.85*8760)</f>
        <v>58927.644</v>
      </c>
      <c r="H48" s="65">
        <f>('Plant Data'!$C48*0.85*8760)</f>
        <v>58927.644</v>
      </c>
      <c r="I48" s="65">
        <f>('Plant Data'!$C48*0.85*8760)</f>
        <v>58927.644</v>
      </c>
      <c r="J48" s="65">
        <f>('Plant Data'!$C48*0.85*8760)</f>
        <v>58927.644</v>
      </c>
      <c r="K48" s="65">
        <f>('Plant Data'!$C48*0.85*8760)</f>
        <v>58927.644</v>
      </c>
      <c r="L48" s="65">
        <f>('Plant Data'!$C48*0.85*8760)</f>
        <v>58927.644</v>
      </c>
      <c r="M48" s="65">
        <f>('Plant Data'!$C48*0.85*8760)</f>
        <v>58927.644</v>
      </c>
      <c r="N48" s="65">
        <f>('Plant Data'!$C48*0.85*8760)</f>
        <v>58927.644</v>
      </c>
      <c r="O48" s="65">
        <f>('Plant Data'!$C48*0.85*8760)</f>
        <v>58927.644</v>
      </c>
      <c r="P48" s="65">
        <f>('Plant Data'!$C48*0.85*8760)</f>
        <v>58927.644</v>
      </c>
      <c r="Q48" s="65">
        <f>('Plant Data'!$C48*0.85*8760)</f>
        <v>58927.644</v>
      </c>
      <c r="R48" s="65">
        <f>('Plant Data'!$C48*0.85*8760)</f>
        <v>58927.644</v>
      </c>
      <c r="S48" s="65">
        <f>('Plant Data'!$C48*0.85*8760)</f>
        <v>58927.644</v>
      </c>
      <c r="T48" s="65">
        <f>('Plant Data'!$C48*0.85*8760)</f>
        <v>58927.644</v>
      </c>
      <c r="U48" s="65">
        <f>('Plant Data'!$C48*0.85*8760)</f>
        <v>58927.644</v>
      </c>
      <c r="V48" s="65">
        <f>('Plant Data'!$C48*0.85*8760)</f>
        <v>58927.644</v>
      </c>
      <c r="W48" s="65">
        <f>('Plant Data'!$C48*0.85*8760)</f>
        <v>58927.644</v>
      </c>
      <c r="X48" s="65">
        <f>('Plant Data'!$C48*0.85*8760)</f>
        <v>58927.644</v>
      </c>
      <c r="Y48" s="65">
        <f>('Plant Data'!$C48*0.85*8760)</f>
        <v>58927.644</v>
      </c>
      <c r="Z48" s="65">
        <f>('Plant Data'!$C48*0.85*8760)</f>
        <v>58927.644</v>
      </c>
      <c r="AA48" s="65">
        <f>('Plant Data'!$C48*0.85*8760)</f>
        <v>58927.644</v>
      </c>
      <c r="AB48" s="65">
        <f>('Plant Data'!$C48*0.85*8760)</f>
        <v>58927.644</v>
      </c>
      <c r="AC48" s="65">
        <f>('Plant Data'!$C48*0.85*8760)</f>
        <v>58927.644</v>
      </c>
      <c r="AD48" s="65">
        <f>('Plant Data'!$C48*0.85*8760)</f>
        <v>58927.644</v>
      </c>
      <c r="AE48" s="65">
        <f>('Plant Data'!$C48*0.85*8760)</f>
        <v>58927.644</v>
      </c>
      <c r="AF48" s="65">
        <f>('Plant Data'!$C48*0.85*8760)</f>
        <v>58927.644</v>
      </c>
      <c r="AG48" s="65">
        <f>('Plant Data'!$C48*0.85*8760)</f>
        <v>58927.644</v>
      </c>
      <c r="AH48" s="65">
        <f>('Plant Data'!$C48*0.85*8760)</f>
        <v>58927.644</v>
      </c>
      <c r="AI48" s="65">
        <f>('Plant Data'!$C48*0.85*8760)</f>
        <v>58927.644</v>
      </c>
      <c r="AJ48" s="65">
        <f>('Plant Data'!$C48*0.85*8760)</f>
        <v>58927.644</v>
      </c>
      <c r="AK48" s="65">
        <f>('Plant Data'!$C48*0.85*8760)</f>
        <v>58927.644</v>
      </c>
      <c r="AL48" s="65">
        <f>('Plant Data'!$C48*0.85*8760)</f>
        <v>58927.644</v>
      </c>
      <c r="AM48" s="65">
        <f>('Plant Data'!$C48*0.85*8760)</f>
        <v>58927.644</v>
      </c>
      <c r="AN48" s="65">
        <f>('Plant Data'!$C48*0.85*8760)</f>
        <v>58927.644</v>
      </c>
      <c r="AO48" s="65">
        <f>('Plant Data'!$C48*0.85*8760)</f>
        <v>58927.644</v>
      </c>
      <c r="AP48" s="65">
        <f>('Plant Data'!$C48*0.85*8760)</f>
        <v>58927.644</v>
      </c>
      <c r="AQ48" s="65">
        <f>('Plant Data'!$C48*0.85*8760)</f>
        <v>58927.644</v>
      </c>
      <c r="AR48" s="65">
        <f>('Plant Data'!$C48*0.85*8760)</f>
        <v>58927.644</v>
      </c>
      <c r="AS48" s="65">
        <f>('Plant Data'!$C48*0.85*8760)</f>
        <v>58927.644</v>
      </c>
      <c r="AT48" s="65">
        <f>('Plant Data'!$C48*0.85*8760)</f>
        <v>58927.644</v>
      </c>
      <c r="AU48" s="65">
        <f>('Plant Data'!$C48*0.85*8760)</f>
        <v>58927.644</v>
      </c>
    </row>
    <row r="49" spans="1:47" ht="15.75" customHeight="1" x14ac:dyDescent="0.2">
      <c r="A49" s="49" t="str">
        <f>IF('Plant Data'!A49="","",'Plant Data'!A49)</f>
        <v>Panay power stationUnit 2</v>
      </c>
      <c r="B49" s="65">
        <f>('Plant Data'!C53*0.85*8760)</f>
        <v>58927.644</v>
      </c>
      <c r="C49" s="65">
        <f>('Plant Data'!$C49*0.85*8760)</f>
        <v>58927.644</v>
      </c>
      <c r="D49" s="65">
        <f>('Plant Data'!$C49*0.85*8760)</f>
        <v>58927.644</v>
      </c>
      <c r="E49" s="65">
        <f>('Plant Data'!$C49*0.85*8760)</f>
        <v>58927.644</v>
      </c>
      <c r="F49" s="65">
        <f>('Plant Data'!$C49*0.85*8760)</f>
        <v>58927.644</v>
      </c>
      <c r="G49" s="65">
        <f>('Plant Data'!$C49*0.85*8760)</f>
        <v>58927.644</v>
      </c>
      <c r="H49" s="65">
        <f>('Plant Data'!$C49*0.85*8760)</f>
        <v>58927.644</v>
      </c>
      <c r="I49" s="65">
        <f>('Plant Data'!$C49*0.85*8760)</f>
        <v>58927.644</v>
      </c>
      <c r="J49" s="65">
        <f>('Plant Data'!$C49*0.85*8760)</f>
        <v>58927.644</v>
      </c>
      <c r="K49" s="65">
        <f>('Plant Data'!$C49*0.85*8760)</f>
        <v>58927.644</v>
      </c>
      <c r="L49" s="65">
        <f>('Plant Data'!$C49*0.85*8760)</f>
        <v>58927.644</v>
      </c>
      <c r="M49" s="65">
        <f>('Plant Data'!$C49*0.85*8760)</f>
        <v>58927.644</v>
      </c>
      <c r="N49" s="65">
        <f>('Plant Data'!$C49*0.85*8760)</f>
        <v>58927.644</v>
      </c>
      <c r="O49" s="65">
        <f>('Plant Data'!$C49*0.85*8760)</f>
        <v>58927.644</v>
      </c>
      <c r="P49" s="65">
        <f>('Plant Data'!$C49*0.85*8760)</f>
        <v>58927.644</v>
      </c>
      <c r="Q49" s="65">
        <f>('Plant Data'!$C49*0.85*8760)</f>
        <v>58927.644</v>
      </c>
      <c r="R49" s="65">
        <f>('Plant Data'!$C49*0.85*8760)</f>
        <v>58927.644</v>
      </c>
      <c r="S49" s="65">
        <f>('Plant Data'!$C49*0.85*8760)</f>
        <v>58927.644</v>
      </c>
      <c r="T49" s="65">
        <f>('Plant Data'!$C49*0.85*8760)</f>
        <v>58927.644</v>
      </c>
      <c r="U49" s="65">
        <f>('Plant Data'!$C49*0.85*8760)</f>
        <v>58927.644</v>
      </c>
      <c r="V49" s="65">
        <f>('Plant Data'!$C49*0.85*8760)</f>
        <v>58927.644</v>
      </c>
      <c r="W49" s="65">
        <f>('Plant Data'!$C49*0.85*8760)</f>
        <v>58927.644</v>
      </c>
      <c r="X49" s="65">
        <f>('Plant Data'!$C49*0.85*8760)</f>
        <v>58927.644</v>
      </c>
      <c r="Y49" s="65">
        <f>('Plant Data'!$C49*0.85*8760)</f>
        <v>58927.644</v>
      </c>
      <c r="Z49" s="65">
        <f>('Plant Data'!$C49*0.85*8760)</f>
        <v>58927.644</v>
      </c>
      <c r="AA49" s="65">
        <f>('Plant Data'!$C49*0.85*8760)</f>
        <v>58927.644</v>
      </c>
      <c r="AB49" s="65">
        <f>('Plant Data'!$C49*0.85*8760)</f>
        <v>58927.644</v>
      </c>
      <c r="AC49" s="65">
        <f>('Plant Data'!$C49*0.85*8760)</f>
        <v>58927.644</v>
      </c>
      <c r="AD49" s="65">
        <f>('Plant Data'!$C49*0.85*8760)</f>
        <v>58927.644</v>
      </c>
      <c r="AE49" s="65">
        <f>('Plant Data'!$C49*0.85*8760)</f>
        <v>58927.644</v>
      </c>
      <c r="AF49" s="65">
        <f>('Plant Data'!$C49*0.85*8760)</f>
        <v>58927.644</v>
      </c>
      <c r="AG49" s="65">
        <f>('Plant Data'!$C49*0.85*8760)</f>
        <v>58927.644</v>
      </c>
      <c r="AH49" s="65">
        <f>('Plant Data'!$C49*0.85*8760)</f>
        <v>58927.644</v>
      </c>
      <c r="AI49" s="65">
        <f>('Plant Data'!$C49*0.85*8760)</f>
        <v>58927.644</v>
      </c>
      <c r="AJ49" s="65">
        <f>('Plant Data'!$C49*0.85*8760)</f>
        <v>58927.644</v>
      </c>
      <c r="AK49" s="65">
        <f>('Plant Data'!$C49*0.85*8760)</f>
        <v>58927.644</v>
      </c>
      <c r="AL49" s="65">
        <f>('Plant Data'!$C49*0.85*8760)</f>
        <v>58927.644</v>
      </c>
      <c r="AM49" s="65">
        <f>('Plant Data'!$C49*0.85*8760)</f>
        <v>58927.644</v>
      </c>
      <c r="AN49" s="65">
        <f>('Plant Data'!$C49*0.85*8760)</f>
        <v>58927.644</v>
      </c>
      <c r="AO49" s="65">
        <f>('Plant Data'!$C49*0.85*8760)</f>
        <v>58927.644</v>
      </c>
      <c r="AP49" s="65">
        <f>('Plant Data'!$C49*0.85*8760)</f>
        <v>58927.644</v>
      </c>
      <c r="AQ49" s="65">
        <f>('Plant Data'!$C49*0.85*8760)</f>
        <v>58927.644</v>
      </c>
      <c r="AR49" s="65">
        <f>('Plant Data'!$C49*0.85*8760)</f>
        <v>58927.644</v>
      </c>
      <c r="AS49" s="65">
        <f>('Plant Data'!$C49*0.85*8760)</f>
        <v>58927.644</v>
      </c>
      <c r="AT49" s="65">
        <f>('Plant Data'!$C49*0.85*8760)</f>
        <v>58927.644</v>
      </c>
      <c r="AU49" s="65">
        <f>('Plant Data'!$C49*0.85*8760)</f>
        <v>58927.644</v>
      </c>
    </row>
    <row r="50" spans="1:47" ht="15.75" customHeight="1" x14ac:dyDescent="0.2">
      <c r="A50" s="49" t="str">
        <f>IF('Plant Data'!A50="","",'Plant Data'!A50)</f>
        <v>Panay power stationUnit 3</v>
      </c>
      <c r="B50" s="65">
        <f>('Plant Data'!C54*0.85*8760)</f>
        <v>58927.644</v>
      </c>
      <c r="C50" s="65">
        <f>('Plant Data'!$C50*0.85*8760)</f>
        <v>58927.644</v>
      </c>
      <c r="D50" s="65">
        <f>('Plant Data'!$C50*0.85*8760)</f>
        <v>58927.644</v>
      </c>
      <c r="E50" s="65">
        <f>('Plant Data'!$C50*0.85*8760)</f>
        <v>58927.644</v>
      </c>
      <c r="F50" s="65">
        <f>('Plant Data'!$C50*0.85*8760)</f>
        <v>58927.644</v>
      </c>
      <c r="G50" s="65">
        <f>('Plant Data'!$C50*0.85*8760)</f>
        <v>58927.644</v>
      </c>
      <c r="H50" s="65">
        <f>('Plant Data'!$C50*0.85*8760)</f>
        <v>58927.644</v>
      </c>
      <c r="I50" s="65">
        <f>('Plant Data'!$C50*0.85*8760)</f>
        <v>58927.644</v>
      </c>
      <c r="J50" s="65">
        <f>('Plant Data'!$C50*0.85*8760)</f>
        <v>58927.644</v>
      </c>
      <c r="K50" s="65">
        <f>('Plant Data'!$C50*0.85*8760)</f>
        <v>58927.644</v>
      </c>
      <c r="L50" s="65">
        <f>('Plant Data'!$C50*0.85*8760)</f>
        <v>58927.644</v>
      </c>
      <c r="M50" s="65">
        <f>('Plant Data'!$C50*0.85*8760)</f>
        <v>58927.644</v>
      </c>
      <c r="N50" s="65">
        <f>('Plant Data'!$C50*0.85*8760)</f>
        <v>58927.644</v>
      </c>
      <c r="O50" s="65">
        <f>('Plant Data'!$C50*0.85*8760)</f>
        <v>58927.644</v>
      </c>
      <c r="P50" s="65">
        <f>('Plant Data'!$C50*0.85*8760)</f>
        <v>58927.644</v>
      </c>
      <c r="Q50" s="65">
        <f>('Plant Data'!$C50*0.85*8760)</f>
        <v>58927.644</v>
      </c>
      <c r="R50" s="65">
        <f>('Plant Data'!$C50*0.85*8760)</f>
        <v>58927.644</v>
      </c>
      <c r="S50" s="65">
        <f>('Plant Data'!$C50*0.85*8760)</f>
        <v>58927.644</v>
      </c>
      <c r="T50" s="65">
        <f>('Plant Data'!$C50*0.85*8760)</f>
        <v>58927.644</v>
      </c>
      <c r="U50" s="65">
        <f>('Plant Data'!$C50*0.85*8760)</f>
        <v>58927.644</v>
      </c>
      <c r="V50" s="65">
        <f>('Plant Data'!$C50*0.85*8760)</f>
        <v>58927.644</v>
      </c>
      <c r="W50" s="65">
        <f>('Plant Data'!$C50*0.85*8760)</f>
        <v>58927.644</v>
      </c>
      <c r="X50" s="65">
        <f>('Plant Data'!$C50*0.85*8760)</f>
        <v>58927.644</v>
      </c>
      <c r="Y50" s="65">
        <f>('Plant Data'!$C50*0.85*8760)</f>
        <v>58927.644</v>
      </c>
      <c r="Z50" s="65">
        <f>('Plant Data'!$C50*0.85*8760)</f>
        <v>58927.644</v>
      </c>
      <c r="AA50" s="65">
        <f>('Plant Data'!$C50*0.85*8760)</f>
        <v>58927.644</v>
      </c>
      <c r="AB50" s="65">
        <f>('Plant Data'!$C50*0.85*8760)</f>
        <v>58927.644</v>
      </c>
      <c r="AC50" s="65">
        <f>('Plant Data'!$C50*0.85*8760)</f>
        <v>58927.644</v>
      </c>
      <c r="AD50" s="65">
        <f>('Plant Data'!$C50*0.85*8760)</f>
        <v>58927.644</v>
      </c>
      <c r="AE50" s="65">
        <f>('Plant Data'!$C50*0.85*8760)</f>
        <v>58927.644</v>
      </c>
      <c r="AF50" s="65">
        <f>('Plant Data'!$C50*0.85*8760)</f>
        <v>58927.644</v>
      </c>
      <c r="AG50" s="65">
        <f>('Plant Data'!$C50*0.85*8760)</f>
        <v>58927.644</v>
      </c>
      <c r="AH50" s="65">
        <f>('Plant Data'!$C50*0.85*8760)</f>
        <v>58927.644</v>
      </c>
      <c r="AI50" s="65">
        <f>('Plant Data'!$C50*0.85*8760)</f>
        <v>58927.644</v>
      </c>
      <c r="AJ50" s="65">
        <f>('Plant Data'!$C50*0.85*8760)</f>
        <v>58927.644</v>
      </c>
      <c r="AK50" s="65">
        <f>('Plant Data'!$C50*0.85*8760)</f>
        <v>58927.644</v>
      </c>
      <c r="AL50" s="65">
        <f>('Plant Data'!$C50*0.85*8760)</f>
        <v>58927.644</v>
      </c>
      <c r="AM50" s="65">
        <f>('Plant Data'!$C50*0.85*8760)</f>
        <v>58927.644</v>
      </c>
      <c r="AN50" s="65">
        <f>('Plant Data'!$C50*0.85*8760)</f>
        <v>58927.644</v>
      </c>
      <c r="AO50" s="65">
        <f>('Plant Data'!$C50*0.85*8760)</f>
        <v>58927.644</v>
      </c>
      <c r="AP50" s="65">
        <f>('Plant Data'!$C50*0.85*8760)</f>
        <v>58927.644</v>
      </c>
      <c r="AQ50" s="65">
        <f>('Plant Data'!$C50*0.85*8760)</f>
        <v>58927.644</v>
      </c>
      <c r="AR50" s="65">
        <f>('Plant Data'!$C50*0.85*8760)</f>
        <v>58927.644</v>
      </c>
      <c r="AS50" s="65">
        <f>('Plant Data'!$C50*0.85*8760)</f>
        <v>58927.644</v>
      </c>
      <c r="AT50" s="65">
        <f>('Plant Data'!$C50*0.85*8760)</f>
        <v>58927.644</v>
      </c>
      <c r="AU50" s="65">
        <f>('Plant Data'!$C50*0.85*8760)</f>
        <v>58927.644</v>
      </c>
    </row>
    <row r="51" spans="1:47" ht="15.75" customHeight="1" x14ac:dyDescent="0.2">
      <c r="A51" s="49" t="str">
        <f>IF('Plant Data'!A51="","",'Plant Data'!A51)</f>
        <v>Petron Refinery power stationUnit 1</v>
      </c>
      <c r="B51" s="65">
        <f>('Plant Data'!C55*0.85*8760)</f>
        <v>58927.644</v>
      </c>
      <c r="C51" s="65">
        <f>('Plant Data'!$C51*0.85*8760)</f>
        <v>58927.644</v>
      </c>
      <c r="D51" s="65">
        <f>('Plant Data'!$C51*0.85*8760)</f>
        <v>58927.644</v>
      </c>
      <c r="E51" s="65">
        <f>('Plant Data'!$C51*0.85*8760)</f>
        <v>58927.644</v>
      </c>
      <c r="F51" s="65">
        <f>('Plant Data'!$C51*0.85*8760)</f>
        <v>58927.644</v>
      </c>
      <c r="G51" s="65">
        <f>('Plant Data'!$C51*0.85*8760)</f>
        <v>58927.644</v>
      </c>
      <c r="H51" s="65">
        <f>('Plant Data'!$C51*0.85*8760)</f>
        <v>58927.644</v>
      </c>
      <c r="I51" s="65">
        <f>('Plant Data'!$C51*0.85*8760)</f>
        <v>58927.644</v>
      </c>
      <c r="J51" s="65">
        <f>('Plant Data'!$C51*0.85*8760)</f>
        <v>58927.644</v>
      </c>
      <c r="K51" s="65">
        <f>('Plant Data'!$C51*0.85*8760)</f>
        <v>58927.644</v>
      </c>
      <c r="L51" s="65">
        <f>('Plant Data'!$C51*0.85*8760)</f>
        <v>58927.644</v>
      </c>
      <c r="M51" s="65">
        <f>('Plant Data'!$C51*0.85*8760)</f>
        <v>58927.644</v>
      </c>
      <c r="N51" s="65">
        <f>('Plant Data'!$C51*0.85*8760)</f>
        <v>58927.644</v>
      </c>
      <c r="O51" s="65">
        <f>('Plant Data'!$C51*0.85*8760)</f>
        <v>58927.644</v>
      </c>
      <c r="P51" s="65">
        <f>('Plant Data'!$C51*0.85*8760)</f>
        <v>58927.644</v>
      </c>
      <c r="Q51" s="65">
        <f>('Plant Data'!$C51*0.85*8760)</f>
        <v>58927.644</v>
      </c>
      <c r="R51" s="65">
        <f>('Plant Data'!$C51*0.85*8760)</f>
        <v>58927.644</v>
      </c>
      <c r="S51" s="65">
        <f>('Plant Data'!$C51*0.85*8760)</f>
        <v>58927.644</v>
      </c>
      <c r="T51" s="65">
        <f>('Plant Data'!$C51*0.85*8760)</f>
        <v>58927.644</v>
      </c>
      <c r="U51" s="65">
        <f>('Plant Data'!$C51*0.85*8760)</f>
        <v>58927.644</v>
      </c>
      <c r="V51" s="65">
        <f>('Plant Data'!$C51*0.85*8760)</f>
        <v>58927.644</v>
      </c>
      <c r="W51" s="65">
        <f>('Plant Data'!$C51*0.85*8760)</f>
        <v>58927.644</v>
      </c>
      <c r="X51" s="65">
        <f>('Plant Data'!$C51*0.85*8760)</f>
        <v>58927.644</v>
      </c>
      <c r="Y51" s="65">
        <f>('Plant Data'!$C51*0.85*8760)</f>
        <v>58927.644</v>
      </c>
      <c r="Z51" s="65">
        <f>('Plant Data'!$C51*0.85*8760)</f>
        <v>58927.644</v>
      </c>
      <c r="AA51" s="65">
        <f>('Plant Data'!$C51*0.85*8760)</f>
        <v>58927.644</v>
      </c>
      <c r="AB51" s="65">
        <f>('Plant Data'!$C51*0.85*8760)</f>
        <v>58927.644</v>
      </c>
      <c r="AC51" s="65">
        <f>('Plant Data'!$C51*0.85*8760)</f>
        <v>58927.644</v>
      </c>
      <c r="AD51" s="65">
        <f>('Plant Data'!$C51*0.85*8760)</f>
        <v>58927.644</v>
      </c>
      <c r="AE51" s="65">
        <f>('Plant Data'!$C51*0.85*8760)</f>
        <v>58927.644</v>
      </c>
      <c r="AF51" s="65">
        <f>('Plant Data'!$C51*0.85*8760)</f>
        <v>58927.644</v>
      </c>
      <c r="AG51" s="65">
        <f>('Plant Data'!$C51*0.85*8760)</f>
        <v>58927.644</v>
      </c>
      <c r="AH51" s="65">
        <f>('Plant Data'!$C51*0.85*8760)</f>
        <v>58927.644</v>
      </c>
      <c r="AI51" s="65">
        <f>('Plant Data'!$C51*0.85*8760)</f>
        <v>58927.644</v>
      </c>
      <c r="AJ51" s="65">
        <f>('Plant Data'!$C51*0.85*8760)</f>
        <v>58927.644</v>
      </c>
      <c r="AK51" s="65">
        <f>('Plant Data'!$C51*0.85*8760)</f>
        <v>58927.644</v>
      </c>
      <c r="AL51" s="65">
        <f>('Plant Data'!$C51*0.85*8760)</f>
        <v>58927.644</v>
      </c>
      <c r="AM51" s="65">
        <f>('Plant Data'!$C51*0.85*8760)</f>
        <v>58927.644</v>
      </c>
      <c r="AN51" s="65">
        <f>('Plant Data'!$C51*0.85*8760)</f>
        <v>58927.644</v>
      </c>
      <c r="AO51" s="65">
        <f>('Plant Data'!$C51*0.85*8760)</f>
        <v>58927.644</v>
      </c>
      <c r="AP51" s="65">
        <f>('Plant Data'!$C51*0.85*8760)</f>
        <v>58927.644</v>
      </c>
      <c r="AQ51" s="65">
        <f>('Plant Data'!$C51*0.85*8760)</f>
        <v>58927.644</v>
      </c>
      <c r="AR51" s="65">
        <f>('Plant Data'!$C51*0.85*8760)</f>
        <v>58927.644</v>
      </c>
      <c r="AS51" s="65">
        <f>('Plant Data'!$C51*0.85*8760)</f>
        <v>58927.644</v>
      </c>
      <c r="AT51" s="65">
        <f>('Plant Data'!$C51*0.85*8760)</f>
        <v>58927.644</v>
      </c>
      <c r="AU51" s="65">
        <f>('Plant Data'!$C51*0.85*8760)</f>
        <v>58927.644</v>
      </c>
    </row>
    <row r="52" spans="1:47" ht="15.75" customHeight="1" x14ac:dyDescent="0.2">
      <c r="A52" s="49" t="str">
        <f>IF('Plant Data'!A52="","",'Plant Data'!A52)</f>
        <v>Petron Refinery power stationUnit 2</v>
      </c>
      <c r="B52" s="65">
        <f>('Plant Data'!C56*0.85*8760)</f>
        <v>58927.644</v>
      </c>
      <c r="C52" s="65">
        <f>('Plant Data'!$C52*0.85*8760)</f>
        <v>58927.644</v>
      </c>
      <c r="D52" s="65">
        <f>('Plant Data'!$C52*0.85*8760)</f>
        <v>58927.644</v>
      </c>
      <c r="E52" s="65">
        <f>('Plant Data'!$C52*0.85*8760)</f>
        <v>58927.644</v>
      </c>
      <c r="F52" s="65">
        <f>('Plant Data'!$C52*0.85*8760)</f>
        <v>58927.644</v>
      </c>
      <c r="G52" s="65">
        <f>('Plant Data'!$C52*0.85*8760)</f>
        <v>58927.644</v>
      </c>
      <c r="H52" s="65">
        <f>('Plant Data'!$C52*0.85*8760)</f>
        <v>58927.644</v>
      </c>
      <c r="I52" s="65">
        <f>('Plant Data'!$C52*0.85*8760)</f>
        <v>58927.644</v>
      </c>
      <c r="J52" s="65">
        <f>('Plant Data'!$C52*0.85*8760)</f>
        <v>58927.644</v>
      </c>
      <c r="K52" s="65">
        <f>('Plant Data'!$C52*0.85*8760)</f>
        <v>58927.644</v>
      </c>
      <c r="L52" s="65">
        <f>('Plant Data'!$C52*0.85*8760)</f>
        <v>58927.644</v>
      </c>
      <c r="M52" s="65">
        <f>('Plant Data'!$C52*0.85*8760)</f>
        <v>58927.644</v>
      </c>
      <c r="N52" s="65">
        <f>('Plant Data'!$C52*0.85*8760)</f>
        <v>58927.644</v>
      </c>
      <c r="O52" s="65">
        <f>('Plant Data'!$C52*0.85*8760)</f>
        <v>58927.644</v>
      </c>
      <c r="P52" s="65">
        <f>('Plant Data'!$C52*0.85*8760)</f>
        <v>58927.644</v>
      </c>
      <c r="Q52" s="65">
        <f>('Plant Data'!$C52*0.85*8760)</f>
        <v>58927.644</v>
      </c>
      <c r="R52" s="65">
        <f>('Plant Data'!$C52*0.85*8760)</f>
        <v>58927.644</v>
      </c>
      <c r="S52" s="65">
        <f>('Plant Data'!$C52*0.85*8760)</f>
        <v>58927.644</v>
      </c>
      <c r="T52" s="65">
        <f>('Plant Data'!$C52*0.85*8760)</f>
        <v>58927.644</v>
      </c>
      <c r="U52" s="65">
        <f>('Plant Data'!$C52*0.85*8760)</f>
        <v>58927.644</v>
      </c>
      <c r="V52" s="65">
        <f>('Plant Data'!$C52*0.85*8760)</f>
        <v>58927.644</v>
      </c>
      <c r="W52" s="65">
        <f>('Plant Data'!$C52*0.85*8760)</f>
        <v>58927.644</v>
      </c>
      <c r="X52" s="65">
        <f>('Plant Data'!$C52*0.85*8760)</f>
        <v>58927.644</v>
      </c>
      <c r="Y52" s="65">
        <f>('Plant Data'!$C52*0.85*8760)</f>
        <v>58927.644</v>
      </c>
      <c r="Z52" s="65">
        <f>('Plant Data'!$C52*0.85*8760)</f>
        <v>58927.644</v>
      </c>
      <c r="AA52" s="65">
        <f>('Plant Data'!$C52*0.85*8760)</f>
        <v>58927.644</v>
      </c>
      <c r="AB52" s="65">
        <f>('Plant Data'!$C52*0.85*8760)</f>
        <v>58927.644</v>
      </c>
      <c r="AC52" s="65">
        <f>('Plant Data'!$C52*0.85*8760)</f>
        <v>58927.644</v>
      </c>
      <c r="AD52" s="65">
        <f>('Plant Data'!$C52*0.85*8760)</f>
        <v>58927.644</v>
      </c>
      <c r="AE52" s="65">
        <f>('Plant Data'!$C52*0.85*8760)</f>
        <v>58927.644</v>
      </c>
      <c r="AF52" s="65">
        <f>('Plant Data'!$C52*0.85*8760)</f>
        <v>58927.644</v>
      </c>
      <c r="AG52" s="65">
        <f>('Plant Data'!$C52*0.85*8760)</f>
        <v>58927.644</v>
      </c>
      <c r="AH52" s="65">
        <f>('Plant Data'!$C52*0.85*8760)</f>
        <v>58927.644</v>
      </c>
      <c r="AI52" s="65">
        <f>('Plant Data'!$C52*0.85*8760)</f>
        <v>58927.644</v>
      </c>
      <c r="AJ52" s="65">
        <f>('Plant Data'!$C52*0.85*8760)</f>
        <v>58927.644</v>
      </c>
      <c r="AK52" s="65">
        <f>('Plant Data'!$C52*0.85*8760)</f>
        <v>58927.644</v>
      </c>
      <c r="AL52" s="65">
        <f>('Plant Data'!$C52*0.85*8760)</f>
        <v>58927.644</v>
      </c>
      <c r="AM52" s="65">
        <f>('Plant Data'!$C52*0.85*8760)</f>
        <v>58927.644</v>
      </c>
      <c r="AN52" s="65">
        <f>('Plant Data'!$C52*0.85*8760)</f>
        <v>58927.644</v>
      </c>
      <c r="AO52" s="65">
        <f>('Plant Data'!$C52*0.85*8760)</f>
        <v>58927.644</v>
      </c>
      <c r="AP52" s="65">
        <f>('Plant Data'!$C52*0.85*8760)</f>
        <v>58927.644</v>
      </c>
      <c r="AQ52" s="65">
        <f>('Plant Data'!$C52*0.85*8760)</f>
        <v>58927.644</v>
      </c>
      <c r="AR52" s="65">
        <f>('Plant Data'!$C52*0.85*8760)</f>
        <v>58927.644</v>
      </c>
      <c r="AS52" s="65">
        <f>('Plant Data'!$C52*0.85*8760)</f>
        <v>58927.644</v>
      </c>
      <c r="AT52" s="65">
        <f>('Plant Data'!$C52*0.85*8760)</f>
        <v>58927.644</v>
      </c>
      <c r="AU52" s="65">
        <f>('Plant Data'!$C52*0.85*8760)</f>
        <v>58927.644</v>
      </c>
    </row>
    <row r="53" spans="1:47" ht="15.75" customHeight="1" x14ac:dyDescent="0.2">
      <c r="A53" s="49" t="str">
        <f>IF('Plant Data'!A53="","",'Plant Data'!A53)</f>
        <v>Petron Refinery power stationUnit 3</v>
      </c>
      <c r="B53" s="65">
        <f>('Plant Data'!C57*0.85*8760)</f>
        <v>58927.644</v>
      </c>
      <c r="C53" s="65">
        <f>('Plant Data'!$C53*0.85*8760)</f>
        <v>58927.644</v>
      </c>
      <c r="D53" s="65">
        <f>('Plant Data'!$C53*0.85*8760)</f>
        <v>58927.644</v>
      </c>
      <c r="E53" s="65">
        <f>('Plant Data'!$C53*0.85*8760)</f>
        <v>58927.644</v>
      </c>
      <c r="F53" s="65">
        <f>('Plant Data'!$C53*0.85*8760)</f>
        <v>58927.644</v>
      </c>
      <c r="G53" s="65">
        <f>('Plant Data'!$C53*0.85*8760)</f>
        <v>58927.644</v>
      </c>
      <c r="H53" s="65">
        <f>('Plant Data'!$C53*0.85*8760)</f>
        <v>58927.644</v>
      </c>
      <c r="I53" s="65">
        <f>('Plant Data'!$C53*0.85*8760)</f>
        <v>58927.644</v>
      </c>
      <c r="J53" s="65">
        <f>('Plant Data'!$C53*0.85*8760)</f>
        <v>58927.644</v>
      </c>
      <c r="K53" s="65">
        <f>('Plant Data'!$C53*0.85*8760)</f>
        <v>58927.644</v>
      </c>
      <c r="L53" s="65">
        <f>('Plant Data'!$C53*0.85*8760)</f>
        <v>58927.644</v>
      </c>
      <c r="M53" s="65">
        <f>('Plant Data'!$C53*0.85*8760)</f>
        <v>58927.644</v>
      </c>
      <c r="N53" s="65">
        <f>('Plant Data'!$C53*0.85*8760)</f>
        <v>58927.644</v>
      </c>
      <c r="O53" s="65">
        <f>('Plant Data'!$C53*0.85*8760)</f>
        <v>58927.644</v>
      </c>
      <c r="P53" s="65">
        <f>('Plant Data'!$C53*0.85*8760)</f>
        <v>58927.644</v>
      </c>
      <c r="Q53" s="65">
        <f>('Plant Data'!$C53*0.85*8760)</f>
        <v>58927.644</v>
      </c>
      <c r="R53" s="65">
        <f>('Plant Data'!$C53*0.85*8760)</f>
        <v>58927.644</v>
      </c>
      <c r="S53" s="65">
        <f>('Plant Data'!$C53*0.85*8760)</f>
        <v>58927.644</v>
      </c>
      <c r="T53" s="65">
        <f>('Plant Data'!$C53*0.85*8760)</f>
        <v>58927.644</v>
      </c>
      <c r="U53" s="65">
        <f>('Plant Data'!$C53*0.85*8760)</f>
        <v>58927.644</v>
      </c>
      <c r="V53" s="65">
        <f>('Plant Data'!$C53*0.85*8760)</f>
        <v>58927.644</v>
      </c>
      <c r="W53" s="65">
        <f>('Plant Data'!$C53*0.85*8760)</f>
        <v>58927.644</v>
      </c>
      <c r="X53" s="65">
        <f>('Plant Data'!$C53*0.85*8760)</f>
        <v>58927.644</v>
      </c>
      <c r="Y53" s="65">
        <f>('Plant Data'!$C53*0.85*8760)</f>
        <v>58927.644</v>
      </c>
      <c r="Z53" s="65">
        <f>('Plant Data'!$C53*0.85*8760)</f>
        <v>58927.644</v>
      </c>
      <c r="AA53" s="65">
        <f>('Plant Data'!$C53*0.85*8760)</f>
        <v>58927.644</v>
      </c>
      <c r="AB53" s="65">
        <f>('Plant Data'!$C53*0.85*8760)</f>
        <v>58927.644</v>
      </c>
      <c r="AC53" s="65">
        <f>('Plant Data'!$C53*0.85*8760)</f>
        <v>58927.644</v>
      </c>
      <c r="AD53" s="65">
        <f>('Plant Data'!$C53*0.85*8760)</f>
        <v>58927.644</v>
      </c>
      <c r="AE53" s="65">
        <f>('Plant Data'!$C53*0.85*8760)</f>
        <v>58927.644</v>
      </c>
      <c r="AF53" s="65">
        <f>('Plant Data'!$C53*0.85*8760)</f>
        <v>58927.644</v>
      </c>
      <c r="AG53" s="65">
        <f>('Plant Data'!$C53*0.85*8760)</f>
        <v>58927.644</v>
      </c>
      <c r="AH53" s="65">
        <f>('Plant Data'!$C53*0.85*8760)</f>
        <v>58927.644</v>
      </c>
      <c r="AI53" s="65">
        <f>('Plant Data'!$C53*0.85*8760)</f>
        <v>58927.644</v>
      </c>
      <c r="AJ53" s="65">
        <f>('Plant Data'!$C53*0.85*8760)</f>
        <v>58927.644</v>
      </c>
      <c r="AK53" s="65">
        <f>('Plant Data'!$C53*0.85*8760)</f>
        <v>58927.644</v>
      </c>
      <c r="AL53" s="65">
        <f>('Plant Data'!$C53*0.85*8760)</f>
        <v>58927.644</v>
      </c>
      <c r="AM53" s="65">
        <f>('Plant Data'!$C53*0.85*8760)</f>
        <v>58927.644</v>
      </c>
      <c r="AN53" s="65">
        <f>('Plant Data'!$C53*0.85*8760)</f>
        <v>58927.644</v>
      </c>
      <c r="AO53" s="65">
        <f>('Plant Data'!$C53*0.85*8760)</f>
        <v>58927.644</v>
      </c>
      <c r="AP53" s="65">
        <f>('Plant Data'!$C53*0.85*8760)</f>
        <v>58927.644</v>
      </c>
      <c r="AQ53" s="65">
        <f>('Plant Data'!$C53*0.85*8760)</f>
        <v>58927.644</v>
      </c>
      <c r="AR53" s="65">
        <f>('Plant Data'!$C53*0.85*8760)</f>
        <v>58927.644</v>
      </c>
      <c r="AS53" s="65">
        <f>('Plant Data'!$C53*0.85*8760)</f>
        <v>58927.644</v>
      </c>
      <c r="AT53" s="65">
        <f>('Plant Data'!$C53*0.85*8760)</f>
        <v>58927.644</v>
      </c>
      <c r="AU53" s="65">
        <f>('Plant Data'!$C53*0.85*8760)</f>
        <v>58927.644</v>
      </c>
    </row>
    <row r="54" spans="1:47" ht="15.75" customHeight="1" x14ac:dyDescent="0.2">
      <c r="A54" s="49" t="str">
        <f>IF('Plant Data'!A54="","",'Plant Data'!A54)</f>
        <v>Petron Refinery power stationUnit 4</v>
      </c>
      <c r="B54" s="65">
        <f>('Plant Data'!C58*0.85*8760)</f>
        <v>58927.644</v>
      </c>
      <c r="C54" s="65">
        <f>('Plant Data'!$C54*0.85*8760)</f>
        <v>58927.644</v>
      </c>
      <c r="D54" s="65">
        <f>('Plant Data'!$C54*0.85*8760)</f>
        <v>58927.644</v>
      </c>
      <c r="E54" s="65">
        <f>('Plant Data'!$C54*0.85*8760)</f>
        <v>58927.644</v>
      </c>
      <c r="F54" s="65">
        <f>('Plant Data'!$C54*0.85*8760)</f>
        <v>58927.644</v>
      </c>
      <c r="G54" s="65">
        <f>('Plant Data'!$C54*0.85*8760)</f>
        <v>58927.644</v>
      </c>
      <c r="H54" s="65">
        <f>('Plant Data'!$C54*0.85*8760)</f>
        <v>58927.644</v>
      </c>
      <c r="I54" s="65">
        <f>('Plant Data'!$C54*0.85*8760)</f>
        <v>58927.644</v>
      </c>
      <c r="J54" s="65">
        <f>('Plant Data'!$C54*0.85*8760)</f>
        <v>58927.644</v>
      </c>
      <c r="K54" s="65">
        <f>('Plant Data'!$C54*0.85*8760)</f>
        <v>58927.644</v>
      </c>
      <c r="L54" s="65">
        <f>('Plant Data'!$C54*0.85*8760)</f>
        <v>58927.644</v>
      </c>
      <c r="M54" s="65">
        <f>('Plant Data'!$C54*0.85*8760)</f>
        <v>58927.644</v>
      </c>
      <c r="N54" s="65">
        <f>('Plant Data'!$C54*0.85*8760)</f>
        <v>58927.644</v>
      </c>
      <c r="O54" s="65">
        <f>('Plant Data'!$C54*0.85*8760)</f>
        <v>58927.644</v>
      </c>
      <c r="P54" s="65">
        <f>('Plant Data'!$C54*0.85*8760)</f>
        <v>58927.644</v>
      </c>
      <c r="Q54" s="65">
        <f>('Plant Data'!$C54*0.85*8760)</f>
        <v>58927.644</v>
      </c>
      <c r="R54" s="65">
        <f>('Plant Data'!$C54*0.85*8760)</f>
        <v>58927.644</v>
      </c>
      <c r="S54" s="65">
        <f>('Plant Data'!$C54*0.85*8760)</f>
        <v>58927.644</v>
      </c>
      <c r="T54" s="65">
        <f>('Plant Data'!$C54*0.85*8760)</f>
        <v>58927.644</v>
      </c>
      <c r="U54" s="65">
        <f>('Plant Data'!$C54*0.85*8760)</f>
        <v>58927.644</v>
      </c>
      <c r="V54" s="65">
        <f>('Plant Data'!$C54*0.85*8760)</f>
        <v>58927.644</v>
      </c>
      <c r="W54" s="65">
        <f>('Plant Data'!$C54*0.85*8760)</f>
        <v>58927.644</v>
      </c>
      <c r="X54" s="65">
        <f>('Plant Data'!$C54*0.85*8760)</f>
        <v>58927.644</v>
      </c>
      <c r="Y54" s="65">
        <f>('Plant Data'!$C54*0.85*8760)</f>
        <v>58927.644</v>
      </c>
      <c r="Z54" s="65">
        <f>('Plant Data'!$C54*0.85*8760)</f>
        <v>58927.644</v>
      </c>
      <c r="AA54" s="65">
        <f>('Plant Data'!$C54*0.85*8760)</f>
        <v>58927.644</v>
      </c>
      <c r="AB54" s="65">
        <f>('Plant Data'!$C54*0.85*8760)</f>
        <v>58927.644</v>
      </c>
      <c r="AC54" s="65">
        <f>('Plant Data'!$C54*0.85*8760)</f>
        <v>58927.644</v>
      </c>
      <c r="AD54" s="65">
        <f>('Plant Data'!$C54*0.85*8760)</f>
        <v>58927.644</v>
      </c>
      <c r="AE54" s="65">
        <f>('Plant Data'!$C54*0.85*8760)</f>
        <v>58927.644</v>
      </c>
      <c r="AF54" s="65">
        <f>('Plant Data'!$C54*0.85*8760)</f>
        <v>58927.644</v>
      </c>
      <c r="AG54" s="65">
        <f>('Plant Data'!$C54*0.85*8760)</f>
        <v>58927.644</v>
      </c>
      <c r="AH54" s="65">
        <f>('Plant Data'!$C54*0.85*8760)</f>
        <v>58927.644</v>
      </c>
      <c r="AI54" s="65">
        <f>('Plant Data'!$C54*0.85*8760)</f>
        <v>58927.644</v>
      </c>
      <c r="AJ54" s="65">
        <f>('Plant Data'!$C54*0.85*8760)</f>
        <v>58927.644</v>
      </c>
      <c r="AK54" s="65">
        <f>('Plant Data'!$C54*0.85*8760)</f>
        <v>58927.644</v>
      </c>
      <c r="AL54" s="65">
        <f>('Plant Data'!$C54*0.85*8760)</f>
        <v>58927.644</v>
      </c>
      <c r="AM54" s="65">
        <f>('Plant Data'!$C54*0.85*8760)</f>
        <v>58927.644</v>
      </c>
      <c r="AN54" s="65">
        <f>('Plant Data'!$C54*0.85*8760)</f>
        <v>58927.644</v>
      </c>
      <c r="AO54" s="65">
        <f>('Plant Data'!$C54*0.85*8760)</f>
        <v>58927.644</v>
      </c>
      <c r="AP54" s="65">
        <f>('Plant Data'!$C54*0.85*8760)</f>
        <v>58927.644</v>
      </c>
      <c r="AQ54" s="65">
        <f>('Plant Data'!$C54*0.85*8760)</f>
        <v>58927.644</v>
      </c>
      <c r="AR54" s="65">
        <f>('Plant Data'!$C54*0.85*8760)</f>
        <v>58927.644</v>
      </c>
      <c r="AS54" s="65">
        <f>('Plant Data'!$C54*0.85*8760)</f>
        <v>58927.644</v>
      </c>
      <c r="AT54" s="65">
        <f>('Plant Data'!$C54*0.85*8760)</f>
        <v>58927.644</v>
      </c>
      <c r="AU54" s="65">
        <f>('Plant Data'!$C54*0.85*8760)</f>
        <v>58927.644</v>
      </c>
    </row>
    <row r="55" spans="1:47" ht="15.75" customHeight="1" x14ac:dyDescent="0.2">
      <c r="A55" s="49" t="str">
        <f>IF('Plant Data'!A55="","",'Plant Data'!A55)</f>
        <v>Puting Bato power stationUnit 1</v>
      </c>
      <c r="B55" s="65">
        <f>('Plant Data'!C59*0.85*8760)</f>
        <v>58927.644</v>
      </c>
      <c r="C55" s="65">
        <f>('Plant Data'!$C55*0.85*8760)</f>
        <v>58927.644</v>
      </c>
      <c r="D55" s="65">
        <f>('Plant Data'!$C55*0.85*8760)</f>
        <v>58927.644</v>
      </c>
      <c r="E55" s="65">
        <f>('Plant Data'!$C55*0.85*8760)</f>
        <v>58927.644</v>
      </c>
      <c r="F55" s="65">
        <f>('Plant Data'!$C55*0.85*8760)</f>
        <v>58927.644</v>
      </c>
      <c r="G55" s="65">
        <f>('Plant Data'!$C55*0.85*8760)</f>
        <v>58927.644</v>
      </c>
      <c r="H55" s="65">
        <f>('Plant Data'!$C55*0.85*8760)</f>
        <v>58927.644</v>
      </c>
      <c r="I55" s="65">
        <f>('Plant Data'!$C55*0.85*8760)</f>
        <v>58927.644</v>
      </c>
      <c r="J55" s="65">
        <f>('Plant Data'!$C55*0.85*8760)</f>
        <v>58927.644</v>
      </c>
      <c r="K55" s="65">
        <f>('Plant Data'!$C55*0.85*8760)</f>
        <v>58927.644</v>
      </c>
      <c r="L55" s="65">
        <f>('Plant Data'!$C55*0.85*8760)</f>
        <v>58927.644</v>
      </c>
      <c r="M55" s="65">
        <f>('Plant Data'!$C55*0.85*8760)</f>
        <v>58927.644</v>
      </c>
      <c r="N55" s="65">
        <f>('Plant Data'!$C55*0.85*8760)</f>
        <v>58927.644</v>
      </c>
      <c r="O55" s="65">
        <f>('Plant Data'!$C55*0.85*8760)</f>
        <v>58927.644</v>
      </c>
      <c r="P55" s="65">
        <f>('Plant Data'!$C55*0.85*8760)</f>
        <v>58927.644</v>
      </c>
      <c r="Q55" s="65">
        <f>('Plant Data'!$C55*0.85*8760)</f>
        <v>58927.644</v>
      </c>
      <c r="R55" s="65">
        <f>('Plant Data'!$C55*0.85*8760)</f>
        <v>58927.644</v>
      </c>
      <c r="S55" s="65">
        <f>('Plant Data'!$C55*0.85*8760)</f>
        <v>58927.644</v>
      </c>
      <c r="T55" s="65">
        <f>('Plant Data'!$C55*0.85*8760)</f>
        <v>58927.644</v>
      </c>
      <c r="U55" s="65">
        <f>('Plant Data'!$C55*0.85*8760)</f>
        <v>58927.644</v>
      </c>
      <c r="V55" s="65">
        <f>('Plant Data'!$C55*0.85*8760)</f>
        <v>58927.644</v>
      </c>
      <c r="W55" s="65">
        <f>('Plant Data'!$C55*0.85*8760)</f>
        <v>58927.644</v>
      </c>
      <c r="X55" s="65">
        <f>('Plant Data'!$C55*0.85*8760)</f>
        <v>58927.644</v>
      </c>
      <c r="Y55" s="65">
        <f>('Plant Data'!$C55*0.85*8760)</f>
        <v>58927.644</v>
      </c>
      <c r="Z55" s="65">
        <f>('Plant Data'!$C55*0.85*8760)</f>
        <v>58927.644</v>
      </c>
      <c r="AA55" s="65">
        <f>('Plant Data'!$C55*0.85*8760)</f>
        <v>58927.644</v>
      </c>
      <c r="AB55" s="65">
        <f>('Plant Data'!$C55*0.85*8760)</f>
        <v>58927.644</v>
      </c>
      <c r="AC55" s="65">
        <f>('Plant Data'!$C55*0.85*8760)</f>
        <v>58927.644</v>
      </c>
      <c r="AD55" s="65">
        <f>('Plant Data'!$C55*0.85*8760)</f>
        <v>58927.644</v>
      </c>
      <c r="AE55" s="65">
        <f>('Plant Data'!$C55*0.85*8760)</f>
        <v>58927.644</v>
      </c>
      <c r="AF55" s="65">
        <f>('Plant Data'!$C55*0.85*8760)</f>
        <v>58927.644</v>
      </c>
      <c r="AG55" s="65">
        <f>('Plant Data'!$C55*0.85*8760)</f>
        <v>58927.644</v>
      </c>
      <c r="AH55" s="65">
        <f>('Plant Data'!$C55*0.85*8760)</f>
        <v>58927.644</v>
      </c>
      <c r="AI55" s="65">
        <f>('Plant Data'!$C55*0.85*8760)</f>
        <v>58927.644</v>
      </c>
      <c r="AJ55" s="65">
        <f>('Plant Data'!$C55*0.85*8760)</f>
        <v>58927.644</v>
      </c>
      <c r="AK55" s="65">
        <f>('Plant Data'!$C55*0.85*8760)</f>
        <v>58927.644</v>
      </c>
      <c r="AL55" s="65">
        <f>('Plant Data'!$C55*0.85*8760)</f>
        <v>58927.644</v>
      </c>
      <c r="AM55" s="65">
        <f>('Plant Data'!$C55*0.85*8760)</f>
        <v>58927.644</v>
      </c>
      <c r="AN55" s="65">
        <f>('Plant Data'!$C55*0.85*8760)</f>
        <v>58927.644</v>
      </c>
      <c r="AO55" s="65">
        <f>('Plant Data'!$C55*0.85*8760)</f>
        <v>58927.644</v>
      </c>
      <c r="AP55" s="65">
        <f>('Plant Data'!$C55*0.85*8760)</f>
        <v>58927.644</v>
      </c>
      <c r="AQ55" s="65">
        <f>('Plant Data'!$C55*0.85*8760)</f>
        <v>58927.644</v>
      </c>
      <c r="AR55" s="65">
        <f>('Plant Data'!$C55*0.85*8760)</f>
        <v>58927.644</v>
      </c>
      <c r="AS55" s="65">
        <f>('Plant Data'!$C55*0.85*8760)</f>
        <v>58927.644</v>
      </c>
      <c r="AT55" s="65">
        <f>('Plant Data'!$C55*0.85*8760)</f>
        <v>58927.644</v>
      </c>
      <c r="AU55" s="65">
        <f>('Plant Data'!$C55*0.85*8760)</f>
        <v>58927.644</v>
      </c>
    </row>
    <row r="56" spans="1:47" ht="15.75" customHeight="1" x14ac:dyDescent="0.2">
      <c r="A56" s="49" t="str">
        <f>IF('Plant Data'!A56="","",'Plant Data'!A56)</f>
        <v>Puting Bato power stationUnit 2</v>
      </c>
      <c r="B56" s="65">
        <f>('Plant Data'!C60*0.85*8760)</f>
        <v>58927.644</v>
      </c>
      <c r="C56" s="65">
        <f>('Plant Data'!$C56*0.85*8760)</f>
        <v>58927.644</v>
      </c>
      <c r="D56" s="65">
        <f>('Plant Data'!$C56*0.85*8760)</f>
        <v>58927.644</v>
      </c>
      <c r="E56" s="65">
        <f>('Plant Data'!$C56*0.85*8760)</f>
        <v>58927.644</v>
      </c>
      <c r="F56" s="65">
        <f>('Plant Data'!$C56*0.85*8760)</f>
        <v>58927.644</v>
      </c>
      <c r="G56" s="65">
        <f>('Plant Data'!$C56*0.85*8760)</f>
        <v>58927.644</v>
      </c>
      <c r="H56" s="65">
        <f>('Plant Data'!$C56*0.85*8760)</f>
        <v>58927.644</v>
      </c>
      <c r="I56" s="65">
        <f>('Plant Data'!$C56*0.85*8760)</f>
        <v>58927.644</v>
      </c>
      <c r="J56" s="65">
        <f>('Plant Data'!$C56*0.85*8760)</f>
        <v>58927.644</v>
      </c>
      <c r="K56" s="65">
        <f>('Plant Data'!$C56*0.85*8760)</f>
        <v>58927.644</v>
      </c>
      <c r="L56" s="65">
        <f>('Plant Data'!$C56*0.85*8760)</f>
        <v>58927.644</v>
      </c>
      <c r="M56" s="65">
        <f>('Plant Data'!$C56*0.85*8760)</f>
        <v>58927.644</v>
      </c>
      <c r="N56" s="65">
        <f>('Plant Data'!$C56*0.85*8760)</f>
        <v>58927.644</v>
      </c>
      <c r="O56" s="65">
        <f>('Plant Data'!$C56*0.85*8760)</f>
        <v>58927.644</v>
      </c>
      <c r="P56" s="65">
        <f>('Plant Data'!$C56*0.85*8760)</f>
        <v>58927.644</v>
      </c>
      <c r="Q56" s="65">
        <f>('Plant Data'!$C56*0.85*8760)</f>
        <v>58927.644</v>
      </c>
      <c r="R56" s="65">
        <f>('Plant Data'!$C56*0.85*8760)</f>
        <v>58927.644</v>
      </c>
      <c r="S56" s="65">
        <f>('Plant Data'!$C56*0.85*8760)</f>
        <v>58927.644</v>
      </c>
      <c r="T56" s="65">
        <f>('Plant Data'!$C56*0.85*8760)</f>
        <v>58927.644</v>
      </c>
      <c r="U56" s="65">
        <f>('Plant Data'!$C56*0.85*8760)</f>
        <v>58927.644</v>
      </c>
      <c r="V56" s="65">
        <f>('Plant Data'!$C56*0.85*8760)</f>
        <v>58927.644</v>
      </c>
      <c r="W56" s="65">
        <f>('Plant Data'!$C56*0.85*8760)</f>
        <v>58927.644</v>
      </c>
      <c r="X56" s="65">
        <f>('Plant Data'!$C56*0.85*8760)</f>
        <v>58927.644</v>
      </c>
      <c r="Y56" s="65">
        <f>('Plant Data'!$C56*0.85*8760)</f>
        <v>58927.644</v>
      </c>
      <c r="Z56" s="65">
        <f>('Plant Data'!$C56*0.85*8760)</f>
        <v>58927.644</v>
      </c>
      <c r="AA56" s="65">
        <f>('Plant Data'!$C56*0.85*8760)</f>
        <v>58927.644</v>
      </c>
      <c r="AB56" s="65">
        <f>('Plant Data'!$C56*0.85*8760)</f>
        <v>58927.644</v>
      </c>
      <c r="AC56" s="65">
        <f>('Plant Data'!$C56*0.85*8760)</f>
        <v>58927.644</v>
      </c>
      <c r="AD56" s="65">
        <f>('Plant Data'!$C56*0.85*8760)</f>
        <v>58927.644</v>
      </c>
      <c r="AE56" s="65">
        <f>('Plant Data'!$C56*0.85*8760)</f>
        <v>58927.644</v>
      </c>
      <c r="AF56" s="65">
        <f>('Plant Data'!$C56*0.85*8760)</f>
        <v>58927.644</v>
      </c>
      <c r="AG56" s="65">
        <f>('Plant Data'!$C56*0.85*8760)</f>
        <v>58927.644</v>
      </c>
      <c r="AH56" s="65">
        <f>('Plant Data'!$C56*0.85*8760)</f>
        <v>58927.644</v>
      </c>
      <c r="AI56" s="65">
        <f>('Plant Data'!$C56*0.85*8760)</f>
        <v>58927.644</v>
      </c>
      <c r="AJ56" s="65">
        <f>('Plant Data'!$C56*0.85*8760)</f>
        <v>58927.644</v>
      </c>
      <c r="AK56" s="65">
        <f>('Plant Data'!$C56*0.85*8760)</f>
        <v>58927.644</v>
      </c>
      <c r="AL56" s="65">
        <f>('Plant Data'!$C56*0.85*8760)</f>
        <v>58927.644</v>
      </c>
      <c r="AM56" s="65">
        <f>('Plant Data'!$C56*0.85*8760)</f>
        <v>58927.644</v>
      </c>
      <c r="AN56" s="65">
        <f>('Plant Data'!$C56*0.85*8760)</f>
        <v>58927.644</v>
      </c>
      <c r="AO56" s="65">
        <f>('Plant Data'!$C56*0.85*8760)</f>
        <v>58927.644</v>
      </c>
      <c r="AP56" s="65">
        <f>('Plant Data'!$C56*0.85*8760)</f>
        <v>58927.644</v>
      </c>
      <c r="AQ56" s="65">
        <f>('Plant Data'!$C56*0.85*8760)</f>
        <v>58927.644</v>
      </c>
      <c r="AR56" s="65">
        <f>('Plant Data'!$C56*0.85*8760)</f>
        <v>58927.644</v>
      </c>
      <c r="AS56" s="65">
        <f>('Plant Data'!$C56*0.85*8760)</f>
        <v>58927.644</v>
      </c>
      <c r="AT56" s="65">
        <f>('Plant Data'!$C56*0.85*8760)</f>
        <v>58927.644</v>
      </c>
      <c r="AU56" s="65">
        <f>('Plant Data'!$C56*0.85*8760)</f>
        <v>58927.644</v>
      </c>
    </row>
    <row r="57" spans="1:47" ht="15.75" customHeight="1" x14ac:dyDescent="0.2">
      <c r="A57" s="49" t="str">
        <f>IF('Plant Data'!A57="","",'Plant Data'!A57)</f>
        <v>Quezon power stationUnit 1</v>
      </c>
      <c r="B57" s="65">
        <f>('Plant Data'!C61*0.85*8760)</f>
        <v>58927.644</v>
      </c>
      <c r="C57" s="65">
        <f>('Plant Data'!$C57*0.85*8760)</f>
        <v>58927.644</v>
      </c>
      <c r="D57" s="65">
        <f>('Plant Data'!$C57*0.85*8760)</f>
        <v>58927.644</v>
      </c>
      <c r="E57" s="65">
        <f>('Plant Data'!$C57*0.85*8760)</f>
        <v>58927.644</v>
      </c>
      <c r="F57" s="65">
        <f>('Plant Data'!$C57*0.85*8760)</f>
        <v>58927.644</v>
      </c>
      <c r="G57" s="65">
        <f>('Plant Data'!$C57*0.85*8760)</f>
        <v>58927.644</v>
      </c>
      <c r="H57" s="65">
        <f>('Plant Data'!$C57*0.85*8760)</f>
        <v>58927.644</v>
      </c>
      <c r="I57" s="65">
        <f>('Plant Data'!$C57*0.85*8760)</f>
        <v>58927.644</v>
      </c>
      <c r="J57" s="65">
        <f>('Plant Data'!$C57*0.85*8760)</f>
        <v>58927.644</v>
      </c>
      <c r="K57" s="65">
        <f>('Plant Data'!$C57*0.85*8760)</f>
        <v>58927.644</v>
      </c>
      <c r="L57" s="65">
        <f>('Plant Data'!$C57*0.85*8760)</f>
        <v>58927.644</v>
      </c>
      <c r="M57" s="65">
        <f>('Plant Data'!$C57*0.85*8760)</f>
        <v>58927.644</v>
      </c>
      <c r="N57" s="65">
        <f>('Plant Data'!$C57*0.85*8760)</f>
        <v>58927.644</v>
      </c>
      <c r="O57" s="65">
        <f>('Plant Data'!$C57*0.85*8760)</f>
        <v>58927.644</v>
      </c>
      <c r="P57" s="65">
        <f>('Plant Data'!$C57*0.85*8760)</f>
        <v>58927.644</v>
      </c>
      <c r="Q57" s="65">
        <f>('Plant Data'!$C57*0.85*8760)</f>
        <v>58927.644</v>
      </c>
      <c r="R57" s="65">
        <f>('Plant Data'!$C57*0.85*8760)</f>
        <v>58927.644</v>
      </c>
      <c r="S57" s="65">
        <f>('Plant Data'!$C57*0.85*8760)</f>
        <v>58927.644</v>
      </c>
      <c r="T57" s="65">
        <f>('Plant Data'!$C57*0.85*8760)</f>
        <v>58927.644</v>
      </c>
      <c r="U57" s="65">
        <f>('Plant Data'!$C57*0.85*8760)</f>
        <v>58927.644</v>
      </c>
      <c r="V57" s="65">
        <f>('Plant Data'!$C57*0.85*8760)</f>
        <v>58927.644</v>
      </c>
      <c r="W57" s="65">
        <f>('Plant Data'!$C57*0.85*8760)</f>
        <v>58927.644</v>
      </c>
      <c r="X57" s="65">
        <f>('Plant Data'!$C57*0.85*8760)</f>
        <v>58927.644</v>
      </c>
      <c r="Y57" s="65">
        <f>('Plant Data'!$C57*0.85*8760)</f>
        <v>58927.644</v>
      </c>
      <c r="Z57" s="65">
        <f>('Plant Data'!$C57*0.85*8760)</f>
        <v>58927.644</v>
      </c>
      <c r="AA57" s="65">
        <f>('Plant Data'!$C57*0.85*8760)</f>
        <v>58927.644</v>
      </c>
      <c r="AB57" s="65">
        <f>('Plant Data'!$C57*0.85*8760)</f>
        <v>58927.644</v>
      </c>
      <c r="AC57" s="65">
        <f>('Plant Data'!$C57*0.85*8760)</f>
        <v>58927.644</v>
      </c>
      <c r="AD57" s="65">
        <f>('Plant Data'!$C57*0.85*8760)</f>
        <v>58927.644</v>
      </c>
      <c r="AE57" s="65">
        <f>('Plant Data'!$C57*0.85*8760)</f>
        <v>58927.644</v>
      </c>
      <c r="AF57" s="65">
        <f>('Plant Data'!$C57*0.85*8760)</f>
        <v>58927.644</v>
      </c>
      <c r="AG57" s="65">
        <f>('Plant Data'!$C57*0.85*8760)</f>
        <v>58927.644</v>
      </c>
      <c r="AH57" s="65">
        <f>('Plant Data'!$C57*0.85*8760)</f>
        <v>58927.644</v>
      </c>
      <c r="AI57" s="65">
        <f>('Plant Data'!$C57*0.85*8760)</f>
        <v>58927.644</v>
      </c>
      <c r="AJ57" s="65">
        <f>('Plant Data'!$C57*0.85*8760)</f>
        <v>58927.644</v>
      </c>
      <c r="AK57" s="65">
        <f>('Plant Data'!$C57*0.85*8760)</f>
        <v>58927.644</v>
      </c>
      <c r="AL57" s="65">
        <f>('Plant Data'!$C57*0.85*8760)</f>
        <v>58927.644</v>
      </c>
      <c r="AM57" s="65">
        <f>('Plant Data'!$C57*0.85*8760)</f>
        <v>58927.644</v>
      </c>
      <c r="AN57" s="65">
        <f>('Plant Data'!$C57*0.85*8760)</f>
        <v>58927.644</v>
      </c>
      <c r="AO57" s="65">
        <f>('Plant Data'!$C57*0.85*8760)</f>
        <v>58927.644</v>
      </c>
      <c r="AP57" s="65">
        <f>('Plant Data'!$C57*0.85*8760)</f>
        <v>58927.644</v>
      </c>
      <c r="AQ57" s="65">
        <f>('Plant Data'!$C57*0.85*8760)</f>
        <v>58927.644</v>
      </c>
      <c r="AR57" s="65">
        <f>('Plant Data'!$C57*0.85*8760)</f>
        <v>58927.644</v>
      </c>
      <c r="AS57" s="65">
        <f>('Plant Data'!$C57*0.85*8760)</f>
        <v>58927.644</v>
      </c>
      <c r="AT57" s="65">
        <f>('Plant Data'!$C57*0.85*8760)</f>
        <v>58927.644</v>
      </c>
      <c r="AU57" s="65">
        <f>('Plant Data'!$C57*0.85*8760)</f>
        <v>58927.644</v>
      </c>
    </row>
    <row r="58" spans="1:47" ht="15.75" customHeight="1" x14ac:dyDescent="0.2">
      <c r="A58" s="49" t="str">
        <f>IF('Plant Data'!A58="","",'Plant Data'!A58)</f>
        <v>Quezon power stationUnit 2</v>
      </c>
      <c r="B58" s="65">
        <f>('Plant Data'!C62*0.85*8760)</f>
        <v>58927.644</v>
      </c>
      <c r="C58" s="65">
        <f>('Plant Data'!$C58*0.85*8760)</f>
        <v>58927.644</v>
      </c>
      <c r="D58" s="65">
        <f>('Plant Data'!$C58*0.85*8760)</f>
        <v>58927.644</v>
      </c>
      <c r="E58" s="65">
        <f>('Plant Data'!$C58*0.85*8760)</f>
        <v>58927.644</v>
      </c>
      <c r="F58" s="65">
        <f>('Plant Data'!$C58*0.85*8760)</f>
        <v>58927.644</v>
      </c>
      <c r="G58" s="65">
        <f>('Plant Data'!$C58*0.85*8760)</f>
        <v>58927.644</v>
      </c>
      <c r="H58" s="65">
        <f>('Plant Data'!$C58*0.85*8760)</f>
        <v>58927.644</v>
      </c>
      <c r="I58" s="65">
        <f>('Plant Data'!$C58*0.85*8760)</f>
        <v>58927.644</v>
      </c>
      <c r="J58" s="65">
        <f>('Plant Data'!$C58*0.85*8760)</f>
        <v>58927.644</v>
      </c>
      <c r="K58" s="65">
        <f>('Plant Data'!$C58*0.85*8760)</f>
        <v>58927.644</v>
      </c>
      <c r="L58" s="65">
        <f>('Plant Data'!$C58*0.85*8760)</f>
        <v>58927.644</v>
      </c>
      <c r="M58" s="65">
        <f>('Plant Data'!$C58*0.85*8760)</f>
        <v>58927.644</v>
      </c>
      <c r="N58" s="65">
        <f>('Plant Data'!$C58*0.85*8760)</f>
        <v>58927.644</v>
      </c>
      <c r="O58" s="65">
        <f>('Plant Data'!$C58*0.85*8760)</f>
        <v>58927.644</v>
      </c>
      <c r="P58" s="65">
        <f>('Plant Data'!$C58*0.85*8760)</f>
        <v>58927.644</v>
      </c>
      <c r="Q58" s="65">
        <f>('Plant Data'!$C58*0.85*8760)</f>
        <v>58927.644</v>
      </c>
      <c r="R58" s="65">
        <f>('Plant Data'!$C58*0.85*8760)</f>
        <v>58927.644</v>
      </c>
      <c r="S58" s="65">
        <f>('Plant Data'!$C58*0.85*8760)</f>
        <v>58927.644</v>
      </c>
      <c r="T58" s="65">
        <f>('Plant Data'!$C58*0.85*8760)</f>
        <v>58927.644</v>
      </c>
      <c r="U58" s="65">
        <f>('Plant Data'!$C58*0.85*8760)</f>
        <v>58927.644</v>
      </c>
      <c r="V58" s="65">
        <f>('Plant Data'!$C58*0.85*8760)</f>
        <v>58927.644</v>
      </c>
      <c r="W58" s="65">
        <f>('Plant Data'!$C58*0.85*8760)</f>
        <v>58927.644</v>
      </c>
      <c r="X58" s="65">
        <f>('Plant Data'!$C58*0.85*8760)</f>
        <v>58927.644</v>
      </c>
      <c r="Y58" s="65">
        <f>('Plant Data'!$C58*0.85*8760)</f>
        <v>58927.644</v>
      </c>
      <c r="Z58" s="65">
        <f>('Plant Data'!$C58*0.85*8760)</f>
        <v>58927.644</v>
      </c>
      <c r="AA58" s="65">
        <f>('Plant Data'!$C58*0.85*8760)</f>
        <v>58927.644</v>
      </c>
      <c r="AB58" s="65">
        <f>('Plant Data'!$C58*0.85*8760)</f>
        <v>58927.644</v>
      </c>
      <c r="AC58" s="65">
        <f>('Plant Data'!$C58*0.85*8760)</f>
        <v>58927.644</v>
      </c>
      <c r="AD58" s="65">
        <f>('Plant Data'!$C58*0.85*8760)</f>
        <v>58927.644</v>
      </c>
      <c r="AE58" s="65">
        <f>('Plant Data'!$C58*0.85*8760)</f>
        <v>58927.644</v>
      </c>
      <c r="AF58" s="65">
        <f>('Plant Data'!$C58*0.85*8760)</f>
        <v>58927.644</v>
      </c>
      <c r="AG58" s="65">
        <f>('Plant Data'!$C58*0.85*8760)</f>
        <v>58927.644</v>
      </c>
      <c r="AH58" s="65">
        <f>('Plant Data'!$C58*0.85*8760)</f>
        <v>58927.644</v>
      </c>
      <c r="AI58" s="65">
        <f>('Plant Data'!$C58*0.85*8760)</f>
        <v>58927.644</v>
      </c>
      <c r="AJ58" s="65">
        <f>('Plant Data'!$C58*0.85*8760)</f>
        <v>58927.644</v>
      </c>
      <c r="AK58" s="65">
        <f>('Plant Data'!$C58*0.85*8760)</f>
        <v>58927.644</v>
      </c>
      <c r="AL58" s="65">
        <f>('Plant Data'!$C58*0.85*8760)</f>
        <v>58927.644</v>
      </c>
      <c r="AM58" s="65">
        <f>('Plant Data'!$C58*0.85*8760)</f>
        <v>58927.644</v>
      </c>
      <c r="AN58" s="65">
        <f>('Plant Data'!$C58*0.85*8760)</f>
        <v>58927.644</v>
      </c>
      <c r="AO58" s="65">
        <f>('Plant Data'!$C58*0.85*8760)</f>
        <v>58927.644</v>
      </c>
      <c r="AP58" s="65">
        <f>('Plant Data'!$C58*0.85*8760)</f>
        <v>58927.644</v>
      </c>
      <c r="AQ58" s="65">
        <f>('Plant Data'!$C58*0.85*8760)</f>
        <v>58927.644</v>
      </c>
      <c r="AR58" s="65">
        <f>('Plant Data'!$C58*0.85*8760)</f>
        <v>58927.644</v>
      </c>
      <c r="AS58" s="65">
        <f>('Plant Data'!$C58*0.85*8760)</f>
        <v>58927.644</v>
      </c>
      <c r="AT58" s="65">
        <f>('Plant Data'!$C58*0.85*8760)</f>
        <v>58927.644</v>
      </c>
      <c r="AU58" s="65">
        <f>('Plant Data'!$C58*0.85*8760)</f>
        <v>58927.644</v>
      </c>
    </row>
    <row r="59" spans="1:47" ht="15.75" customHeight="1" x14ac:dyDescent="0.2">
      <c r="A59" s="49" t="str">
        <f>IF('Plant Data'!A59="","",'Plant Data'!A59)</f>
        <v>SMC Mariveles power stationPhase I Unit 1</v>
      </c>
      <c r="B59" s="65">
        <f>('Plant Data'!C63*0.85*8760)</f>
        <v>58927.644</v>
      </c>
      <c r="C59" s="65">
        <f>('Plant Data'!$C59*0.85*8760)</f>
        <v>58927.644</v>
      </c>
      <c r="D59" s="65">
        <f>('Plant Data'!$C59*0.85*8760)</f>
        <v>58927.644</v>
      </c>
      <c r="E59" s="65">
        <f>('Plant Data'!$C59*0.85*8760)</f>
        <v>58927.644</v>
      </c>
      <c r="F59" s="65">
        <f>('Plant Data'!$C59*0.85*8760)</f>
        <v>58927.644</v>
      </c>
      <c r="G59" s="65">
        <f>('Plant Data'!$C59*0.85*8760)</f>
        <v>58927.644</v>
      </c>
      <c r="H59" s="65">
        <f>('Plant Data'!$C59*0.85*8760)</f>
        <v>58927.644</v>
      </c>
      <c r="I59" s="65">
        <f>('Plant Data'!$C59*0.85*8760)</f>
        <v>58927.644</v>
      </c>
      <c r="J59" s="65">
        <f>('Plant Data'!$C59*0.85*8760)</f>
        <v>58927.644</v>
      </c>
      <c r="K59" s="65">
        <f>('Plant Data'!$C59*0.85*8760)</f>
        <v>58927.644</v>
      </c>
      <c r="L59" s="65">
        <f>('Plant Data'!$C59*0.85*8760)</f>
        <v>58927.644</v>
      </c>
      <c r="M59" s="65">
        <f>('Plant Data'!$C59*0.85*8760)</f>
        <v>58927.644</v>
      </c>
      <c r="N59" s="65">
        <f>('Plant Data'!$C59*0.85*8760)</f>
        <v>58927.644</v>
      </c>
      <c r="O59" s="65">
        <f>('Plant Data'!$C59*0.85*8760)</f>
        <v>58927.644</v>
      </c>
      <c r="P59" s="65">
        <f>('Plant Data'!$C59*0.85*8760)</f>
        <v>58927.644</v>
      </c>
      <c r="Q59" s="65">
        <f>('Plant Data'!$C59*0.85*8760)</f>
        <v>58927.644</v>
      </c>
      <c r="R59" s="65">
        <f>('Plant Data'!$C59*0.85*8760)</f>
        <v>58927.644</v>
      </c>
      <c r="S59" s="65">
        <f>('Plant Data'!$C59*0.85*8760)</f>
        <v>58927.644</v>
      </c>
      <c r="T59" s="65">
        <f>('Plant Data'!$C59*0.85*8760)</f>
        <v>58927.644</v>
      </c>
      <c r="U59" s="65">
        <f>('Plant Data'!$C59*0.85*8760)</f>
        <v>58927.644</v>
      </c>
      <c r="V59" s="65">
        <f>('Plant Data'!$C59*0.85*8760)</f>
        <v>58927.644</v>
      </c>
      <c r="W59" s="65">
        <f>('Plant Data'!$C59*0.85*8760)</f>
        <v>58927.644</v>
      </c>
      <c r="X59" s="65">
        <f>('Plant Data'!$C59*0.85*8760)</f>
        <v>58927.644</v>
      </c>
      <c r="Y59" s="65">
        <f>('Plant Data'!$C59*0.85*8760)</f>
        <v>58927.644</v>
      </c>
      <c r="Z59" s="65">
        <f>('Plant Data'!$C59*0.85*8760)</f>
        <v>58927.644</v>
      </c>
      <c r="AA59" s="65">
        <f>('Plant Data'!$C59*0.85*8760)</f>
        <v>58927.644</v>
      </c>
      <c r="AB59" s="65">
        <f>('Plant Data'!$C59*0.85*8760)</f>
        <v>58927.644</v>
      </c>
      <c r="AC59" s="65">
        <f>('Plant Data'!$C59*0.85*8760)</f>
        <v>58927.644</v>
      </c>
      <c r="AD59" s="65">
        <f>('Plant Data'!$C59*0.85*8760)</f>
        <v>58927.644</v>
      </c>
      <c r="AE59" s="65">
        <f>('Plant Data'!$C59*0.85*8760)</f>
        <v>58927.644</v>
      </c>
      <c r="AF59" s="65">
        <f>('Plant Data'!$C59*0.85*8760)</f>
        <v>58927.644</v>
      </c>
      <c r="AG59" s="65">
        <f>('Plant Data'!$C59*0.85*8760)</f>
        <v>58927.644</v>
      </c>
      <c r="AH59" s="65">
        <f>('Plant Data'!$C59*0.85*8760)</f>
        <v>58927.644</v>
      </c>
      <c r="AI59" s="65">
        <f>('Plant Data'!$C59*0.85*8760)</f>
        <v>58927.644</v>
      </c>
      <c r="AJ59" s="65">
        <f>('Plant Data'!$C59*0.85*8760)</f>
        <v>58927.644</v>
      </c>
      <c r="AK59" s="65">
        <f>('Plant Data'!$C59*0.85*8760)</f>
        <v>58927.644</v>
      </c>
      <c r="AL59" s="65">
        <f>('Plant Data'!$C59*0.85*8760)</f>
        <v>58927.644</v>
      </c>
      <c r="AM59" s="65">
        <f>('Plant Data'!$C59*0.85*8760)</f>
        <v>58927.644</v>
      </c>
      <c r="AN59" s="65">
        <f>('Plant Data'!$C59*0.85*8760)</f>
        <v>58927.644</v>
      </c>
      <c r="AO59" s="65">
        <f>('Plant Data'!$C59*0.85*8760)</f>
        <v>58927.644</v>
      </c>
      <c r="AP59" s="65">
        <f>('Plant Data'!$C59*0.85*8760)</f>
        <v>58927.644</v>
      </c>
      <c r="AQ59" s="65">
        <f>('Plant Data'!$C59*0.85*8760)</f>
        <v>58927.644</v>
      </c>
      <c r="AR59" s="65">
        <f>('Plant Data'!$C59*0.85*8760)</f>
        <v>58927.644</v>
      </c>
      <c r="AS59" s="65">
        <f>('Plant Data'!$C59*0.85*8760)</f>
        <v>58927.644</v>
      </c>
      <c r="AT59" s="65">
        <f>('Plant Data'!$C59*0.85*8760)</f>
        <v>58927.644</v>
      </c>
      <c r="AU59" s="65">
        <f>('Plant Data'!$C59*0.85*8760)</f>
        <v>58927.644</v>
      </c>
    </row>
    <row r="60" spans="1:47" ht="15.75" customHeight="1" x14ac:dyDescent="0.2">
      <c r="A60" s="49" t="str">
        <f>IF('Plant Data'!A60="","",'Plant Data'!A60)</f>
        <v>SMC Mariveles power stationPhase I Unit 2</v>
      </c>
      <c r="B60" s="65">
        <f>('Plant Data'!C64*0.85*8760)</f>
        <v>58927.644</v>
      </c>
      <c r="C60" s="65">
        <f>('Plant Data'!$C60*0.85*8760)</f>
        <v>58927.644</v>
      </c>
      <c r="D60" s="65">
        <f>('Plant Data'!$C60*0.85*8760)</f>
        <v>58927.644</v>
      </c>
      <c r="E60" s="65">
        <f>('Plant Data'!$C60*0.85*8760)</f>
        <v>58927.644</v>
      </c>
      <c r="F60" s="65">
        <f>('Plant Data'!$C60*0.85*8760)</f>
        <v>58927.644</v>
      </c>
      <c r="G60" s="65">
        <f>('Plant Data'!$C60*0.85*8760)</f>
        <v>58927.644</v>
      </c>
      <c r="H60" s="65">
        <f>('Plant Data'!$C60*0.85*8760)</f>
        <v>58927.644</v>
      </c>
      <c r="I60" s="65">
        <f>('Plant Data'!$C60*0.85*8760)</f>
        <v>58927.644</v>
      </c>
      <c r="J60" s="65">
        <f>('Plant Data'!$C60*0.85*8760)</f>
        <v>58927.644</v>
      </c>
      <c r="K60" s="65">
        <f>('Plant Data'!$C60*0.85*8760)</f>
        <v>58927.644</v>
      </c>
      <c r="L60" s="65">
        <f>('Plant Data'!$C60*0.85*8760)</f>
        <v>58927.644</v>
      </c>
      <c r="M60" s="65">
        <f>('Plant Data'!$C60*0.85*8760)</f>
        <v>58927.644</v>
      </c>
      <c r="N60" s="65">
        <f>('Plant Data'!$C60*0.85*8760)</f>
        <v>58927.644</v>
      </c>
      <c r="O60" s="65">
        <f>('Plant Data'!$C60*0.85*8760)</f>
        <v>58927.644</v>
      </c>
      <c r="P60" s="65">
        <f>('Plant Data'!$C60*0.85*8760)</f>
        <v>58927.644</v>
      </c>
      <c r="Q60" s="65">
        <f>('Plant Data'!$C60*0.85*8760)</f>
        <v>58927.644</v>
      </c>
      <c r="R60" s="65">
        <f>('Plant Data'!$C60*0.85*8760)</f>
        <v>58927.644</v>
      </c>
      <c r="S60" s="65">
        <f>('Plant Data'!$C60*0.85*8760)</f>
        <v>58927.644</v>
      </c>
      <c r="T60" s="65">
        <f>('Plant Data'!$C60*0.85*8760)</f>
        <v>58927.644</v>
      </c>
      <c r="U60" s="65">
        <f>('Plant Data'!$C60*0.85*8760)</f>
        <v>58927.644</v>
      </c>
      <c r="V60" s="65">
        <f>('Plant Data'!$C60*0.85*8760)</f>
        <v>58927.644</v>
      </c>
      <c r="W60" s="65">
        <f>('Plant Data'!$C60*0.85*8760)</f>
        <v>58927.644</v>
      </c>
      <c r="X60" s="65">
        <f>('Plant Data'!$C60*0.85*8760)</f>
        <v>58927.644</v>
      </c>
      <c r="Y60" s="65">
        <f>('Plant Data'!$C60*0.85*8760)</f>
        <v>58927.644</v>
      </c>
      <c r="Z60" s="65">
        <f>('Plant Data'!$C60*0.85*8760)</f>
        <v>58927.644</v>
      </c>
      <c r="AA60" s="65">
        <f>('Plant Data'!$C60*0.85*8760)</f>
        <v>58927.644</v>
      </c>
      <c r="AB60" s="65">
        <f>('Plant Data'!$C60*0.85*8760)</f>
        <v>58927.644</v>
      </c>
      <c r="AC60" s="65">
        <f>('Plant Data'!$C60*0.85*8760)</f>
        <v>58927.644</v>
      </c>
      <c r="AD60" s="65">
        <f>('Plant Data'!$C60*0.85*8760)</f>
        <v>58927.644</v>
      </c>
      <c r="AE60" s="65">
        <f>('Plant Data'!$C60*0.85*8760)</f>
        <v>58927.644</v>
      </c>
      <c r="AF60" s="65">
        <f>('Plant Data'!$C60*0.85*8760)</f>
        <v>58927.644</v>
      </c>
      <c r="AG60" s="65">
        <f>('Plant Data'!$C60*0.85*8760)</f>
        <v>58927.644</v>
      </c>
      <c r="AH60" s="65">
        <f>('Plant Data'!$C60*0.85*8760)</f>
        <v>58927.644</v>
      </c>
      <c r="AI60" s="65">
        <f>('Plant Data'!$C60*0.85*8760)</f>
        <v>58927.644</v>
      </c>
      <c r="AJ60" s="65">
        <f>('Plant Data'!$C60*0.85*8760)</f>
        <v>58927.644</v>
      </c>
      <c r="AK60" s="65">
        <f>('Plant Data'!$C60*0.85*8760)</f>
        <v>58927.644</v>
      </c>
      <c r="AL60" s="65">
        <f>('Plant Data'!$C60*0.85*8760)</f>
        <v>58927.644</v>
      </c>
      <c r="AM60" s="65">
        <f>('Plant Data'!$C60*0.85*8760)</f>
        <v>58927.644</v>
      </c>
      <c r="AN60" s="65">
        <f>('Plant Data'!$C60*0.85*8760)</f>
        <v>58927.644</v>
      </c>
      <c r="AO60" s="65">
        <f>('Plant Data'!$C60*0.85*8760)</f>
        <v>58927.644</v>
      </c>
      <c r="AP60" s="65">
        <f>('Plant Data'!$C60*0.85*8760)</f>
        <v>58927.644</v>
      </c>
      <c r="AQ60" s="65">
        <f>('Plant Data'!$C60*0.85*8760)</f>
        <v>58927.644</v>
      </c>
      <c r="AR60" s="65">
        <f>('Plant Data'!$C60*0.85*8760)</f>
        <v>58927.644</v>
      </c>
      <c r="AS60" s="65">
        <f>('Plant Data'!$C60*0.85*8760)</f>
        <v>58927.644</v>
      </c>
      <c r="AT60" s="65">
        <f>('Plant Data'!$C60*0.85*8760)</f>
        <v>58927.644</v>
      </c>
      <c r="AU60" s="65">
        <f>('Plant Data'!$C60*0.85*8760)</f>
        <v>58927.644</v>
      </c>
    </row>
    <row r="61" spans="1:47" ht="15.75" customHeight="1" x14ac:dyDescent="0.2">
      <c r="A61" s="49" t="str">
        <f>IF('Plant Data'!A61="","",'Plant Data'!A61)</f>
        <v>SMC Mariveles power stationPhase I Unit 3</v>
      </c>
      <c r="B61" s="65">
        <f>('Plant Data'!C65*0.85*8760)</f>
        <v>58927.644</v>
      </c>
      <c r="C61" s="65">
        <f>('Plant Data'!$C61*0.85*8760)</f>
        <v>58927.644</v>
      </c>
      <c r="D61" s="65">
        <f>('Plant Data'!$C61*0.85*8760)</f>
        <v>58927.644</v>
      </c>
      <c r="E61" s="65">
        <f>('Plant Data'!$C61*0.85*8760)</f>
        <v>58927.644</v>
      </c>
      <c r="F61" s="65">
        <f>('Plant Data'!$C61*0.85*8760)</f>
        <v>58927.644</v>
      </c>
      <c r="G61" s="65">
        <f>('Plant Data'!$C61*0.85*8760)</f>
        <v>58927.644</v>
      </c>
      <c r="H61" s="65">
        <f>('Plant Data'!$C61*0.85*8760)</f>
        <v>58927.644</v>
      </c>
      <c r="I61" s="65">
        <f>('Plant Data'!$C61*0.85*8760)</f>
        <v>58927.644</v>
      </c>
      <c r="J61" s="65">
        <f>('Plant Data'!$C61*0.85*8760)</f>
        <v>58927.644</v>
      </c>
      <c r="K61" s="65">
        <f>('Plant Data'!$C61*0.85*8760)</f>
        <v>58927.644</v>
      </c>
      <c r="L61" s="65">
        <f>('Plant Data'!$C61*0.85*8760)</f>
        <v>58927.644</v>
      </c>
      <c r="M61" s="65">
        <f>('Plant Data'!$C61*0.85*8760)</f>
        <v>58927.644</v>
      </c>
      <c r="N61" s="65">
        <f>('Plant Data'!$C61*0.85*8760)</f>
        <v>58927.644</v>
      </c>
      <c r="O61" s="65">
        <f>('Plant Data'!$C61*0.85*8760)</f>
        <v>58927.644</v>
      </c>
      <c r="P61" s="65">
        <f>('Plant Data'!$C61*0.85*8760)</f>
        <v>58927.644</v>
      </c>
      <c r="Q61" s="65">
        <f>('Plant Data'!$C61*0.85*8760)</f>
        <v>58927.644</v>
      </c>
      <c r="R61" s="65">
        <f>('Plant Data'!$C61*0.85*8760)</f>
        <v>58927.644</v>
      </c>
      <c r="S61" s="65">
        <f>('Plant Data'!$C61*0.85*8760)</f>
        <v>58927.644</v>
      </c>
      <c r="T61" s="65">
        <f>('Plant Data'!$C61*0.85*8760)</f>
        <v>58927.644</v>
      </c>
      <c r="U61" s="65">
        <f>('Plant Data'!$C61*0.85*8760)</f>
        <v>58927.644</v>
      </c>
      <c r="V61" s="65">
        <f>('Plant Data'!$C61*0.85*8760)</f>
        <v>58927.644</v>
      </c>
      <c r="W61" s="65">
        <f>('Plant Data'!$C61*0.85*8760)</f>
        <v>58927.644</v>
      </c>
      <c r="X61" s="65">
        <f>('Plant Data'!$C61*0.85*8760)</f>
        <v>58927.644</v>
      </c>
      <c r="Y61" s="65">
        <f>('Plant Data'!$C61*0.85*8760)</f>
        <v>58927.644</v>
      </c>
      <c r="Z61" s="65">
        <f>('Plant Data'!$C61*0.85*8760)</f>
        <v>58927.644</v>
      </c>
      <c r="AA61" s="65">
        <f>('Plant Data'!$C61*0.85*8760)</f>
        <v>58927.644</v>
      </c>
      <c r="AB61" s="65">
        <f>('Plant Data'!$C61*0.85*8760)</f>
        <v>58927.644</v>
      </c>
      <c r="AC61" s="65">
        <f>('Plant Data'!$C61*0.85*8760)</f>
        <v>58927.644</v>
      </c>
      <c r="AD61" s="65">
        <f>('Plant Data'!$C61*0.85*8760)</f>
        <v>58927.644</v>
      </c>
      <c r="AE61" s="65">
        <f>('Plant Data'!$C61*0.85*8760)</f>
        <v>58927.644</v>
      </c>
      <c r="AF61" s="65">
        <f>('Plant Data'!$C61*0.85*8760)</f>
        <v>58927.644</v>
      </c>
      <c r="AG61" s="65">
        <f>('Plant Data'!$C61*0.85*8760)</f>
        <v>58927.644</v>
      </c>
      <c r="AH61" s="65">
        <f>('Plant Data'!$C61*0.85*8760)</f>
        <v>58927.644</v>
      </c>
      <c r="AI61" s="65">
        <f>('Plant Data'!$C61*0.85*8760)</f>
        <v>58927.644</v>
      </c>
      <c r="AJ61" s="65">
        <f>('Plant Data'!$C61*0.85*8760)</f>
        <v>58927.644</v>
      </c>
      <c r="AK61" s="65">
        <f>('Plant Data'!$C61*0.85*8760)</f>
        <v>58927.644</v>
      </c>
      <c r="AL61" s="65">
        <f>('Plant Data'!$C61*0.85*8760)</f>
        <v>58927.644</v>
      </c>
      <c r="AM61" s="65">
        <f>('Plant Data'!$C61*0.85*8760)</f>
        <v>58927.644</v>
      </c>
      <c r="AN61" s="65">
        <f>('Plant Data'!$C61*0.85*8760)</f>
        <v>58927.644</v>
      </c>
      <c r="AO61" s="65">
        <f>('Plant Data'!$C61*0.85*8760)</f>
        <v>58927.644</v>
      </c>
      <c r="AP61" s="65">
        <f>('Plant Data'!$C61*0.85*8760)</f>
        <v>58927.644</v>
      </c>
      <c r="AQ61" s="65">
        <f>('Plant Data'!$C61*0.85*8760)</f>
        <v>58927.644</v>
      </c>
      <c r="AR61" s="65">
        <f>('Plant Data'!$C61*0.85*8760)</f>
        <v>58927.644</v>
      </c>
      <c r="AS61" s="65">
        <f>('Plant Data'!$C61*0.85*8760)</f>
        <v>58927.644</v>
      </c>
      <c r="AT61" s="65">
        <f>('Plant Data'!$C61*0.85*8760)</f>
        <v>58927.644</v>
      </c>
      <c r="AU61" s="65">
        <f>('Plant Data'!$C61*0.85*8760)</f>
        <v>58927.644</v>
      </c>
    </row>
    <row r="62" spans="1:47" ht="15.75" customHeight="1" x14ac:dyDescent="0.2">
      <c r="A62" s="49" t="str">
        <f>IF('Plant Data'!A62="","",'Plant Data'!A62)</f>
        <v>SMC Mariveles power stationPhase I Unit 4</v>
      </c>
      <c r="B62" s="65">
        <f>('Plant Data'!C66*0.85*8760)</f>
        <v>58927.644</v>
      </c>
      <c r="C62" s="65">
        <f>('Plant Data'!$C62*0.85*8760)</f>
        <v>58927.644</v>
      </c>
      <c r="D62" s="65">
        <f>('Plant Data'!$C62*0.85*8760)</f>
        <v>58927.644</v>
      </c>
      <c r="E62" s="65">
        <f>('Plant Data'!$C62*0.85*8760)</f>
        <v>58927.644</v>
      </c>
      <c r="F62" s="65">
        <f>('Plant Data'!$C62*0.85*8760)</f>
        <v>58927.644</v>
      </c>
      <c r="G62" s="65">
        <f>('Plant Data'!$C62*0.85*8760)</f>
        <v>58927.644</v>
      </c>
      <c r="H62" s="65">
        <f>('Plant Data'!$C62*0.85*8760)</f>
        <v>58927.644</v>
      </c>
      <c r="I62" s="65">
        <f>('Plant Data'!$C62*0.85*8760)</f>
        <v>58927.644</v>
      </c>
      <c r="J62" s="65">
        <f>('Plant Data'!$C62*0.85*8760)</f>
        <v>58927.644</v>
      </c>
      <c r="K62" s="65">
        <f>('Plant Data'!$C62*0.85*8760)</f>
        <v>58927.644</v>
      </c>
      <c r="L62" s="65">
        <f>('Plant Data'!$C62*0.85*8760)</f>
        <v>58927.644</v>
      </c>
      <c r="M62" s="65">
        <f>('Plant Data'!$C62*0.85*8760)</f>
        <v>58927.644</v>
      </c>
      <c r="N62" s="65">
        <f>('Plant Data'!$C62*0.85*8760)</f>
        <v>58927.644</v>
      </c>
      <c r="O62" s="65">
        <f>('Plant Data'!$C62*0.85*8760)</f>
        <v>58927.644</v>
      </c>
      <c r="P62" s="65">
        <f>('Plant Data'!$C62*0.85*8760)</f>
        <v>58927.644</v>
      </c>
      <c r="Q62" s="65">
        <f>('Plant Data'!$C62*0.85*8760)</f>
        <v>58927.644</v>
      </c>
      <c r="R62" s="65">
        <f>('Plant Data'!$C62*0.85*8760)</f>
        <v>58927.644</v>
      </c>
      <c r="S62" s="65">
        <f>('Plant Data'!$C62*0.85*8760)</f>
        <v>58927.644</v>
      </c>
      <c r="T62" s="65">
        <f>('Plant Data'!$C62*0.85*8760)</f>
        <v>58927.644</v>
      </c>
      <c r="U62" s="65">
        <f>('Plant Data'!$C62*0.85*8760)</f>
        <v>58927.644</v>
      </c>
      <c r="V62" s="65">
        <f>('Plant Data'!$C62*0.85*8760)</f>
        <v>58927.644</v>
      </c>
      <c r="W62" s="65">
        <f>('Plant Data'!$C62*0.85*8760)</f>
        <v>58927.644</v>
      </c>
      <c r="X62" s="65">
        <f>('Plant Data'!$C62*0.85*8760)</f>
        <v>58927.644</v>
      </c>
      <c r="Y62" s="65">
        <f>('Plant Data'!$C62*0.85*8760)</f>
        <v>58927.644</v>
      </c>
      <c r="Z62" s="65">
        <f>('Plant Data'!$C62*0.85*8760)</f>
        <v>58927.644</v>
      </c>
      <c r="AA62" s="65">
        <f>('Plant Data'!$C62*0.85*8760)</f>
        <v>58927.644</v>
      </c>
      <c r="AB62" s="65">
        <f>('Plant Data'!$C62*0.85*8760)</f>
        <v>58927.644</v>
      </c>
      <c r="AC62" s="65">
        <f>('Plant Data'!$C62*0.85*8760)</f>
        <v>58927.644</v>
      </c>
      <c r="AD62" s="65">
        <f>('Plant Data'!$C62*0.85*8760)</f>
        <v>58927.644</v>
      </c>
      <c r="AE62" s="65">
        <f>('Plant Data'!$C62*0.85*8760)</f>
        <v>58927.644</v>
      </c>
      <c r="AF62" s="65">
        <f>('Plant Data'!$C62*0.85*8760)</f>
        <v>58927.644</v>
      </c>
      <c r="AG62" s="65">
        <f>('Plant Data'!$C62*0.85*8760)</f>
        <v>58927.644</v>
      </c>
      <c r="AH62" s="65">
        <f>('Plant Data'!$C62*0.85*8760)</f>
        <v>58927.644</v>
      </c>
      <c r="AI62" s="65">
        <f>('Plant Data'!$C62*0.85*8760)</f>
        <v>58927.644</v>
      </c>
      <c r="AJ62" s="65">
        <f>('Plant Data'!$C62*0.85*8760)</f>
        <v>58927.644</v>
      </c>
      <c r="AK62" s="65">
        <f>('Plant Data'!$C62*0.85*8760)</f>
        <v>58927.644</v>
      </c>
      <c r="AL62" s="65">
        <f>('Plant Data'!$C62*0.85*8760)</f>
        <v>58927.644</v>
      </c>
      <c r="AM62" s="65">
        <f>('Plant Data'!$C62*0.85*8760)</f>
        <v>58927.644</v>
      </c>
      <c r="AN62" s="65">
        <f>('Plant Data'!$C62*0.85*8760)</f>
        <v>58927.644</v>
      </c>
      <c r="AO62" s="65">
        <f>('Plant Data'!$C62*0.85*8760)</f>
        <v>58927.644</v>
      </c>
      <c r="AP62" s="65">
        <f>('Plant Data'!$C62*0.85*8760)</f>
        <v>58927.644</v>
      </c>
      <c r="AQ62" s="65">
        <f>('Plant Data'!$C62*0.85*8760)</f>
        <v>58927.644</v>
      </c>
      <c r="AR62" s="65">
        <f>('Plant Data'!$C62*0.85*8760)</f>
        <v>58927.644</v>
      </c>
      <c r="AS62" s="65">
        <f>('Plant Data'!$C62*0.85*8760)</f>
        <v>58927.644</v>
      </c>
      <c r="AT62" s="65">
        <f>('Plant Data'!$C62*0.85*8760)</f>
        <v>58927.644</v>
      </c>
      <c r="AU62" s="65">
        <f>('Plant Data'!$C62*0.85*8760)</f>
        <v>58927.644</v>
      </c>
    </row>
    <row r="63" spans="1:47" ht="15.75" customHeight="1" x14ac:dyDescent="0.2">
      <c r="A63" s="49" t="str">
        <f>IF('Plant Data'!A63="","",'Plant Data'!A63)</f>
        <v>Sual power stationUnit 1</v>
      </c>
      <c r="B63" s="65">
        <f>('Plant Data'!C67*0.85*8760)</f>
        <v>58927.644</v>
      </c>
      <c r="C63" s="65">
        <f>('Plant Data'!$C63*0.85*8760)</f>
        <v>58927.644</v>
      </c>
      <c r="D63" s="65">
        <f>('Plant Data'!$C63*0.85*8760)</f>
        <v>58927.644</v>
      </c>
      <c r="E63" s="65">
        <f>('Plant Data'!$C63*0.85*8760)</f>
        <v>58927.644</v>
      </c>
      <c r="F63" s="65">
        <f>('Plant Data'!$C63*0.85*8760)</f>
        <v>58927.644</v>
      </c>
      <c r="G63" s="65">
        <f>('Plant Data'!$C63*0.85*8760)</f>
        <v>58927.644</v>
      </c>
      <c r="H63" s="65">
        <f>('Plant Data'!$C63*0.85*8760)</f>
        <v>58927.644</v>
      </c>
      <c r="I63" s="65">
        <f>('Plant Data'!$C63*0.85*8760)</f>
        <v>58927.644</v>
      </c>
      <c r="J63" s="65">
        <f>('Plant Data'!$C63*0.85*8760)</f>
        <v>58927.644</v>
      </c>
      <c r="K63" s="65">
        <f>('Plant Data'!$C63*0.85*8760)</f>
        <v>58927.644</v>
      </c>
      <c r="L63" s="65">
        <f>('Plant Data'!$C63*0.85*8760)</f>
        <v>58927.644</v>
      </c>
      <c r="M63" s="65">
        <f>('Plant Data'!$C63*0.85*8760)</f>
        <v>58927.644</v>
      </c>
      <c r="N63" s="65">
        <f>('Plant Data'!$C63*0.85*8760)</f>
        <v>58927.644</v>
      </c>
      <c r="O63" s="65">
        <f>('Plant Data'!$C63*0.85*8760)</f>
        <v>58927.644</v>
      </c>
      <c r="P63" s="65">
        <f>('Plant Data'!$C63*0.85*8760)</f>
        <v>58927.644</v>
      </c>
      <c r="Q63" s="65">
        <f>('Plant Data'!$C63*0.85*8760)</f>
        <v>58927.644</v>
      </c>
      <c r="R63" s="65">
        <f>('Plant Data'!$C63*0.85*8760)</f>
        <v>58927.644</v>
      </c>
      <c r="S63" s="65">
        <f>('Plant Data'!$C63*0.85*8760)</f>
        <v>58927.644</v>
      </c>
      <c r="T63" s="65">
        <f>('Plant Data'!$C63*0.85*8760)</f>
        <v>58927.644</v>
      </c>
      <c r="U63" s="65">
        <f>('Plant Data'!$C63*0.85*8760)</f>
        <v>58927.644</v>
      </c>
      <c r="V63" s="65">
        <f>('Plant Data'!$C63*0.85*8760)</f>
        <v>58927.644</v>
      </c>
      <c r="W63" s="65">
        <f>('Plant Data'!$C63*0.85*8760)</f>
        <v>58927.644</v>
      </c>
      <c r="X63" s="65">
        <f>('Plant Data'!$C63*0.85*8760)</f>
        <v>58927.644</v>
      </c>
      <c r="Y63" s="65">
        <f>('Plant Data'!$C63*0.85*8760)</f>
        <v>58927.644</v>
      </c>
      <c r="Z63" s="65">
        <f>('Plant Data'!$C63*0.85*8760)</f>
        <v>58927.644</v>
      </c>
      <c r="AA63" s="65">
        <f>('Plant Data'!$C63*0.85*8760)</f>
        <v>58927.644</v>
      </c>
      <c r="AB63" s="65">
        <f>('Plant Data'!$C63*0.85*8760)</f>
        <v>58927.644</v>
      </c>
      <c r="AC63" s="65">
        <f>('Plant Data'!$C63*0.85*8760)</f>
        <v>58927.644</v>
      </c>
      <c r="AD63" s="65">
        <f>('Plant Data'!$C63*0.85*8760)</f>
        <v>58927.644</v>
      </c>
      <c r="AE63" s="65">
        <f>('Plant Data'!$C63*0.85*8760)</f>
        <v>58927.644</v>
      </c>
      <c r="AF63" s="65">
        <f>('Plant Data'!$C63*0.85*8760)</f>
        <v>58927.644</v>
      </c>
      <c r="AG63" s="65">
        <f>('Plant Data'!$C63*0.85*8760)</f>
        <v>58927.644</v>
      </c>
      <c r="AH63" s="65">
        <f>('Plant Data'!$C63*0.85*8760)</f>
        <v>58927.644</v>
      </c>
      <c r="AI63" s="65">
        <f>('Plant Data'!$C63*0.85*8760)</f>
        <v>58927.644</v>
      </c>
      <c r="AJ63" s="65">
        <f>('Plant Data'!$C63*0.85*8760)</f>
        <v>58927.644</v>
      </c>
      <c r="AK63" s="65">
        <f>('Plant Data'!$C63*0.85*8760)</f>
        <v>58927.644</v>
      </c>
      <c r="AL63" s="65">
        <f>('Plant Data'!$C63*0.85*8760)</f>
        <v>58927.644</v>
      </c>
      <c r="AM63" s="65">
        <f>('Plant Data'!$C63*0.85*8760)</f>
        <v>58927.644</v>
      </c>
      <c r="AN63" s="65">
        <f>('Plant Data'!$C63*0.85*8760)</f>
        <v>58927.644</v>
      </c>
      <c r="AO63" s="65">
        <f>('Plant Data'!$C63*0.85*8760)</f>
        <v>58927.644</v>
      </c>
      <c r="AP63" s="65">
        <f>('Plant Data'!$C63*0.85*8760)</f>
        <v>58927.644</v>
      </c>
      <c r="AQ63" s="65">
        <f>('Plant Data'!$C63*0.85*8760)</f>
        <v>58927.644</v>
      </c>
      <c r="AR63" s="65">
        <f>('Plant Data'!$C63*0.85*8760)</f>
        <v>58927.644</v>
      </c>
      <c r="AS63" s="65">
        <f>('Plant Data'!$C63*0.85*8760)</f>
        <v>58927.644</v>
      </c>
      <c r="AT63" s="65">
        <f>('Plant Data'!$C63*0.85*8760)</f>
        <v>58927.644</v>
      </c>
      <c r="AU63" s="65">
        <f>('Plant Data'!$C63*0.85*8760)</f>
        <v>58927.644</v>
      </c>
    </row>
    <row r="64" spans="1:47" ht="15.75" customHeight="1" x14ac:dyDescent="0.2">
      <c r="A64" s="49" t="str">
        <f>IF('Plant Data'!A64="","",'Plant Data'!A64)</f>
        <v>Sual power stationUnit 2</v>
      </c>
      <c r="B64" s="65">
        <f>('Plant Data'!C68*0.85*8760)</f>
        <v>58927.644</v>
      </c>
      <c r="C64" s="65">
        <f>('Plant Data'!$C64*0.85*8760)</f>
        <v>58927.644</v>
      </c>
      <c r="D64" s="65">
        <f>('Plant Data'!$C64*0.85*8760)</f>
        <v>58927.644</v>
      </c>
      <c r="E64" s="65">
        <f>('Plant Data'!$C64*0.85*8760)</f>
        <v>58927.644</v>
      </c>
      <c r="F64" s="65">
        <f>('Plant Data'!$C64*0.85*8760)</f>
        <v>58927.644</v>
      </c>
      <c r="G64" s="65">
        <f>('Plant Data'!$C64*0.85*8760)</f>
        <v>58927.644</v>
      </c>
      <c r="H64" s="65">
        <f>('Plant Data'!$C64*0.85*8760)</f>
        <v>58927.644</v>
      </c>
      <c r="I64" s="65">
        <f>('Plant Data'!$C64*0.85*8760)</f>
        <v>58927.644</v>
      </c>
      <c r="J64" s="65">
        <f>('Plant Data'!$C64*0.85*8760)</f>
        <v>58927.644</v>
      </c>
      <c r="K64" s="65">
        <f>('Plant Data'!$C64*0.85*8760)</f>
        <v>58927.644</v>
      </c>
      <c r="L64" s="65">
        <f>('Plant Data'!$C64*0.85*8760)</f>
        <v>58927.644</v>
      </c>
      <c r="M64" s="65">
        <f>('Plant Data'!$C64*0.85*8760)</f>
        <v>58927.644</v>
      </c>
      <c r="N64" s="65">
        <f>('Plant Data'!$C64*0.85*8760)</f>
        <v>58927.644</v>
      </c>
      <c r="O64" s="65">
        <f>('Plant Data'!$C64*0.85*8760)</f>
        <v>58927.644</v>
      </c>
      <c r="P64" s="65">
        <f>('Plant Data'!$C64*0.85*8760)</f>
        <v>58927.644</v>
      </c>
      <c r="Q64" s="65">
        <f>('Plant Data'!$C64*0.85*8760)</f>
        <v>58927.644</v>
      </c>
      <c r="R64" s="65">
        <f>('Plant Data'!$C64*0.85*8760)</f>
        <v>58927.644</v>
      </c>
      <c r="S64" s="65">
        <f>('Plant Data'!$C64*0.85*8760)</f>
        <v>58927.644</v>
      </c>
      <c r="T64" s="65">
        <f>('Plant Data'!$C64*0.85*8760)</f>
        <v>58927.644</v>
      </c>
      <c r="U64" s="65">
        <f>('Plant Data'!$C64*0.85*8760)</f>
        <v>58927.644</v>
      </c>
      <c r="V64" s="65">
        <f>('Plant Data'!$C64*0.85*8760)</f>
        <v>58927.644</v>
      </c>
      <c r="W64" s="65">
        <f>('Plant Data'!$C64*0.85*8760)</f>
        <v>58927.644</v>
      </c>
      <c r="X64" s="65">
        <f>('Plant Data'!$C64*0.85*8760)</f>
        <v>58927.644</v>
      </c>
      <c r="Y64" s="65">
        <f>('Plant Data'!$C64*0.85*8760)</f>
        <v>58927.644</v>
      </c>
      <c r="Z64" s="65">
        <f>('Plant Data'!$C64*0.85*8760)</f>
        <v>58927.644</v>
      </c>
      <c r="AA64" s="65">
        <f>('Plant Data'!$C64*0.85*8760)</f>
        <v>58927.644</v>
      </c>
      <c r="AB64" s="65">
        <f>('Plant Data'!$C64*0.85*8760)</f>
        <v>58927.644</v>
      </c>
      <c r="AC64" s="65">
        <f>('Plant Data'!$C64*0.85*8760)</f>
        <v>58927.644</v>
      </c>
      <c r="AD64" s="65">
        <f>('Plant Data'!$C64*0.85*8760)</f>
        <v>58927.644</v>
      </c>
      <c r="AE64" s="65">
        <f>('Plant Data'!$C64*0.85*8760)</f>
        <v>58927.644</v>
      </c>
      <c r="AF64" s="65">
        <f>('Plant Data'!$C64*0.85*8760)</f>
        <v>58927.644</v>
      </c>
      <c r="AG64" s="65">
        <f>('Plant Data'!$C64*0.85*8760)</f>
        <v>58927.644</v>
      </c>
      <c r="AH64" s="65">
        <f>('Plant Data'!$C64*0.85*8760)</f>
        <v>58927.644</v>
      </c>
      <c r="AI64" s="65">
        <f>('Plant Data'!$C64*0.85*8760)</f>
        <v>58927.644</v>
      </c>
      <c r="AJ64" s="65">
        <f>('Plant Data'!$C64*0.85*8760)</f>
        <v>58927.644</v>
      </c>
      <c r="AK64" s="65">
        <f>('Plant Data'!$C64*0.85*8760)</f>
        <v>58927.644</v>
      </c>
      <c r="AL64" s="65">
        <f>('Plant Data'!$C64*0.85*8760)</f>
        <v>58927.644</v>
      </c>
      <c r="AM64" s="65">
        <f>('Plant Data'!$C64*0.85*8760)</f>
        <v>58927.644</v>
      </c>
      <c r="AN64" s="65">
        <f>('Plant Data'!$C64*0.85*8760)</f>
        <v>58927.644</v>
      </c>
      <c r="AO64" s="65">
        <f>('Plant Data'!$C64*0.85*8760)</f>
        <v>58927.644</v>
      </c>
      <c r="AP64" s="65">
        <f>('Plant Data'!$C64*0.85*8760)</f>
        <v>58927.644</v>
      </c>
      <c r="AQ64" s="65">
        <f>('Plant Data'!$C64*0.85*8760)</f>
        <v>58927.644</v>
      </c>
      <c r="AR64" s="65">
        <f>('Plant Data'!$C64*0.85*8760)</f>
        <v>58927.644</v>
      </c>
      <c r="AS64" s="65">
        <f>('Plant Data'!$C64*0.85*8760)</f>
        <v>58927.644</v>
      </c>
      <c r="AT64" s="65">
        <f>('Plant Data'!$C64*0.85*8760)</f>
        <v>58927.644</v>
      </c>
      <c r="AU64" s="65">
        <f>('Plant Data'!$C64*0.85*8760)</f>
        <v>58927.644</v>
      </c>
    </row>
    <row r="65" spans="1:47" ht="15.75" customHeight="1" x14ac:dyDescent="0.2">
      <c r="A65" s="49" t="str">
        <f>IF('Plant Data'!A65="","",'Plant Data'!A65)</f>
        <v>Therma Visayas Energy ProjectUnit 1</v>
      </c>
      <c r="B65" s="65">
        <f>('Plant Data'!C69*0.85*8760)</f>
        <v>58927.644</v>
      </c>
      <c r="C65" s="65">
        <f>('Plant Data'!$C65*0.85*8760)</f>
        <v>58927.644</v>
      </c>
      <c r="D65" s="65">
        <f>('Plant Data'!$C65*0.85*8760)</f>
        <v>58927.644</v>
      </c>
      <c r="E65" s="65">
        <f>('Plant Data'!$C65*0.85*8760)</f>
        <v>58927.644</v>
      </c>
      <c r="F65" s="65">
        <f>('Plant Data'!$C65*0.85*8760)</f>
        <v>58927.644</v>
      </c>
      <c r="G65" s="65">
        <f>('Plant Data'!$C65*0.85*8760)</f>
        <v>58927.644</v>
      </c>
      <c r="H65" s="65">
        <f>('Plant Data'!$C65*0.85*8760)</f>
        <v>58927.644</v>
      </c>
      <c r="I65" s="65">
        <f>('Plant Data'!$C65*0.85*8760)</f>
        <v>58927.644</v>
      </c>
      <c r="J65" s="65">
        <f>('Plant Data'!$C65*0.85*8760)</f>
        <v>58927.644</v>
      </c>
      <c r="K65" s="65">
        <f>('Plant Data'!$C65*0.85*8760)</f>
        <v>58927.644</v>
      </c>
      <c r="L65" s="65">
        <f>('Plant Data'!$C65*0.85*8760)</f>
        <v>58927.644</v>
      </c>
      <c r="M65" s="65">
        <f>('Plant Data'!$C65*0.85*8760)</f>
        <v>58927.644</v>
      </c>
      <c r="N65" s="65">
        <f>('Plant Data'!$C65*0.85*8760)</f>
        <v>58927.644</v>
      </c>
      <c r="O65" s="65">
        <f>('Plant Data'!$C65*0.85*8760)</f>
        <v>58927.644</v>
      </c>
      <c r="P65" s="65">
        <f>('Plant Data'!$C65*0.85*8760)</f>
        <v>58927.644</v>
      </c>
      <c r="Q65" s="65">
        <f>('Plant Data'!$C65*0.85*8760)</f>
        <v>58927.644</v>
      </c>
      <c r="R65" s="65">
        <f>('Plant Data'!$C65*0.85*8760)</f>
        <v>58927.644</v>
      </c>
      <c r="S65" s="65">
        <f>('Plant Data'!$C65*0.85*8760)</f>
        <v>58927.644</v>
      </c>
      <c r="T65" s="65">
        <f>('Plant Data'!$C65*0.85*8760)</f>
        <v>58927.644</v>
      </c>
      <c r="U65" s="65">
        <f>('Plant Data'!$C65*0.85*8760)</f>
        <v>58927.644</v>
      </c>
      <c r="V65" s="65">
        <f>('Plant Data'!$C65*0.85*8760)</f>
        <v>58927.644</v>
      </c>
      <c r="W65" s="65">
        <f>('Plant Data'!$C65*0.85*8760)</f>
        <v>58927.644</v>
      </c>
      <c r="X65" s="65">
        <f>('Plant Data'!$C65*0.85*8760)</f>
        <v>58927.644</v>
      </c>
      <c r="Y65" s="65">
        <f>('Plant Data'!$C65*0.85*8760)</f>
        <v>58927.644</v>
      </c>
      <c r="Z65" s="65">
        <f>('Plant Data'!$C65*0.85*8760)</f>
        <v>58927.644</v>
      </c>
      <c r="AA65" s="65">
        <f>('Plant Data'!$C65*0.85*8760)</f>
        <v>58927.644</v>
      </c>
      <c r="AB65" s="65">
        <f>('Plant Data'!$C65*0.85*8760)</f>
        <v>58927.644</v>
      </c>
      <c r="AC65" s="65">
        <f>('Plant Data'!$C65*0.85*8760)</f>
        <v>58927.644</v>
      </c>
      <c r="AD65" s="65">
        <f>('Plant Data'!$C65*0.85*8760)</f>
        <v>58927.644</v>
      </c>
      <c r="AE65" s="65">
        <f>('Plant Data'!$C65*0.85*8760)</f>
        <v>58927.644</v>
      </c>
      <c r="AF65" s="65">
        <f>('Plant Data'!$C65*0.85*8760)</f>
        <v>58927.644</v>
      </c>
      <c r="AG65" s="65">
        <f>('Plant Data'!$C65*0.85*8760)</f>
        <v>58927.644</v>
      </c>
      <c r="AH65" s="65">
        <f>('Plant Data'!$C65*0.85*8760)</f>
        <v>58927.644</v>
      </c>
      <c r="AI65" s="65">
        <f>('Plant Data'!$C65*0.85*8760)</f>
        <v>58927.644</v>
      </c>
      <c r="AJ65" s="65">
        <f>('Plant Data'!$C65*0.85*8760)</f>
        <v>58927.644</v>
      </c>
      <c r="AK65" s="65">
        <f>('Plant Data'!$C65*0.85*8760)</f>
        <v>58927.644</v>
      </c>
      <c r="AL65" s="65">
        <f>('Plant Data'!$C65*0.85*8760)</f>
        <v>58927.644</v>
      </c>
      <c r="AM65" s="65">
        <f>('Plant Data'!$C65*0.85*8760)</f>
        <v>58927.644</v>
      </c>
      <c r="AN65" s="65">
        <f>('Plant Data'!$C65*0.85*8760)</f>
        <v>58927.644</v>
      </c>
      <c r="AO65" s="65">
        <f>('Plant Data'!$C65*0.85*8760)</f>
        <v>58927.644</v>
      </c>
      <c r="AP65" s="65">
        <f>('Plant Data'!$C65*0.85*8760)</f>
        <v>58927.644</v>
      </c>
      <c r="AQ65" s="65">
        <f>('Plant Data'!$C65*0.85*8760)</f>
        <v>58927.644</v>
      </c>
      <c r="AR65" s="65">
        <f>('Plant Data'!$C65*0.85*8760)</f>
        <v>58927.644</v>
      </c>
      <c r="AS65" s="65">
        <f>('Plant Data'!$C65*0.85*8760)</f>
        <v>58927.644</v>
      </c>
      <c r="AT65" s="65">
        <f>('Plant Data'!$C65*0.85*8760)</f>
        <v>58927.644</v>
      </c>
      <c r="AU65" s="65">
        <f>('Plant Data'!$C65*0.85*8760)</f>
        <v>58927.644</v>
      </c>
    </row>
    <row r="66" spans="1:47" ht="15.75" customHeight="1" x14ac:dyDescent="0.2">
      <c r="A66" s="49" t="str">
        <f>IF('Plant Data'!A66="","",'Plant Data'!A66)</f>
        <v>Therma Visayas Energy ProjectUnit 2</v>
      </c>
      <c r="B66" s="65">
        <f>('Plant Data'!C70*0.85*8760)</f>
        <v>58927.644</v>
      </c>
      <c r="C66" s="65">
        <f>('Plant Data'!$C66*0.85*8760)</f>
        <v>58927.644</v>
      </c>
      <c r="D66" s="65">
        <f>('Plant Data'!$C66*0.85*8760)</f>
        <v>58927.644</v>
      </c>
      <c r="E66" s="65">
        <f>('Plant Data'!$C66*0.85*8760)</f>
        <v>58927.644</v>
      </c>
      <c r="F66" s="65">
        <f>('Plant Data'!$C66*0.85*8760)</f>
        <v>58927.644</v>
      </c>
      <c r="G66" s="65">
        <f>('Plant Data'!$C66*0.85*8760)</f>
        <v>58927.644</v>
      </c>
      <c r="H66" s="65">
        <f>('Plant Data'!$C66*0.85*8760)</f>
        <v>58927.644</v>
      </c>
      <c r="I66" s="65">
        <f>('Plant Data'!$C66*0.85*8760)</f>
        <v>58927.644</v>
      </c>
      <c r="J66" s="65">
        <f>('Plant Data'!$C66*0.85*8760)</f>
        <v>58927.644</v>
      </c>
      <c r="K66" s="65">
        <f>('Plant Data'!$C66*0.85*8760)</f>
        <v>58927.644</v>
      </c>
      <c r="L66" s="65">
        <f>('Plant Data'!$C66*0.85*8760)</f>
        <v>58927.644</v>
      </c>
      <c r="M66" s="65">
        <f>('Plant Data'!$C66*0.85*8760)</f>
        <v>58927.644</v>
      </c>
      <c r="N66" s="65">
        <f>('Plant Data'!$C66*0.85*8760)</f>
        <v>58927.644</v>
      </c>
      <c r="O66" s="65">
        <f>('Plant Data'!$C66*0.85*8760)</f>
        <v>58927.644</v>
      </c>
      <c r="P66" s="65">
        <f>('Plant Data'!$C66*0.85*8760)</f>
        <v>58927.644</v>
      </c>
      <c r="Q66" s="65">
        <f>('Plant Data'!$C66*0.85*8760)</f>
        <v>58927.644</v>
      </c>
      <c r="R66" s="65">
        <f>('Plant Data'!$C66*0.85*8760)</f>
        <v>58927.644</v>
      </c>
      <c r="S66" s="65">
        <f>('Plant Data'!$C66*0.85*8760)</f>
        <v>58927.644</v>
      </c>
      <c r="T66" s="65">
        <f>('Plant Data'!$C66*0.85*8760)</f>
        <v>58927.644</v>
      </c>
      <c r="U66" s="65">
        <f>('Plant Data'!$C66*0.85*8760)</f>
        <v>58927.644</v>
      </c>
      <c r="V66" s="65">
        <f>('Plant Data'!$C66*0.85*8760)</f>
        <v>58927.644</v>
      </c>
      <c r="W66" s="65">
        <f>('Plant Data'!$C66*0.85*8760)</f>
        <v>58927.644</v>
      </c>
      <c r="X66" s="65">
        <f>('Plant Data'!$C66*0.85*8760)</f>
        <v>58927.644</v>
      </c>
      <c r="Y66" s="65">
        <f>('Plant Data'!$C66*0.85*8760)</f>
        <v>58927.644</v>
      </c>
      <c r="Z66" s="65">
        <f>('Plant Data'!$C66*0.85*8760)</f>
        <v>58927.644</v>
      </c>
      <c r="AA66" s="65">
        <f>('Plant Data'!$C66*0.85*8760)</f>
        <v>58927.644</v>
      </c>
      <c r="AB66" s="65">
        <f>('Plant Data'!$C66*0.85*8760)</f>
        <v>58927.644</v>
      </c>
      <c r="AC66" s="65">
        <f>('Plant Data'!$C66*0.85*8760)</f>
        <v>58927.644</v>
      </c>
      <c r="AD66" s="65">
        <f>('Plant Data'!$C66*0.85*8760)</f>
        <v>58927.644</v>
      </c>
      <c r="AE66" s="65">
        <f>('Plant Data'!$C66*0.85*8760)</f>
        <v>58927.644</v>
      </c>
      <c r="AF66" s="65">
        <f>('Plant Data'!$C66*0.85*8760)</f>
        <v>58927.644</v>
      </c>
      <c r="AG66" s="65">
        <f>('Plant Data'!$C66*0.85*8760)</f>
        <v>58927.644</v>
      </c>
      <c r="AH66" s="65">
        <f>('Plant Data'!$C66*0.85*8760)</f>
        <v>58927.644</v>
      </c>
      <c r="AI66" s="65">
        <f>('Plant Data'!$C66*0.85*8760)</f>
        <v>58927.644</v>
      </c>
      <c r="AJ66" s="65">
        <f>('Plant Data'!$C66*0.85*8760)</f>
        <v>58927.644</v>
      </c>
      <c r="AK66" s="65">
        <f>('Plant Data'!$C66*0.85*8760)</f>
        <v>58927.644</v>
      </c>
      <c r="AL66" s="65">
        <f>('Plant Data'!$C66*0.85*8760)</f>
        <v>58927.644</v>
      </c>
      <c r="AM66" s="65">
        <f>('Plant Data'!$C66*0.85*8760)</f>
        <v>58927.644</v>
      </c>
      <c r="AN66" s="65">
        <f>('Plant Data'!$C66*0.85*8760)</f>
        <v>58927.644</v>
      </c>
      <c r="AO66" s="65">
        <f>('Plant Data'!$C66*0.85*8760)</f>
        <v>58927.644</v>
      </c>
      <c r="AP66" s="65">
        <f>('Plant Data'!$C66*0.85*8760)</f>
        <v>58927.644</v>
      </c>
      <c r="AQ66" s="65">
        <f>('Plant Data'!$C66*0.85*8760)</f>
        <v>58927.644</v>
      </c>
      <c r="AR66" s="65">
        <f>('Plant Data'!$C66*0.85*8760)</f>
        <v>58927.644</v>
      </c>
      <c r="AS66" s="65">
        <f>('Plant Data'!$C66*0.85*8760)</f>
        <v>58927.644</v>
      </c>
      <c r="AT66" s="65">
        <f>('Plant Data'!$C66*0.85*8760)</f>
        <v>58927.644</v>
      </c>
      <c r="AU66" s="65">
        <f>('Plant Data'!$C66*0.85*8760)</f>
        <v>58927.644</v>
      </c>
    </row>
    <row r="67" spans="1:47" ht="15.75" customHeight="1" x14ac:dyDescent="0.2">
      <c r="A67" s="49" t="str">
        <f>IF('Plant Data'!A67="","",'Plant Data'!A67)</f>
        <v>Toledo City power stationUnit 3</v>
      </c>
      <c r="B67" s="65">
        <f>('Plant Data'!C71*0.85*8760)</f>
        <v>58927.644</v>
      </c>
      <c r="C67" s="65">
        <f>('Plant Data'!$C67*0.85*8760)</f>
        <v>58927.644</v>
      </c>
      <c r="D67" s="65">
        <f>('Plant Data'!$C67*0.85*8760)</f>
        <v>58927.644</v>
      </c>
      <c r="E67" s="65">
        <f>('Plant Data'!$C67*0.85*8760)</f>
        <v>58927.644</v>
      </c>
      <c r="F67" s="65">
        <f>('Plant Data'!$C67*0.85*8760)</f>
        <v>58927.644</v>
      </c>
      <c r="G67" s="65">
        <f>('Plant Data'!$C67*0.85*8760)</f>
        <v>58927.644</v>
      </c>
      <c r="H67" s="65">
        <f>('Plant Data'!$C67*0.85*8760)</f>
        <v>58927.644</v>
      </c>
      <c r="I67" s="65">
        <f>('Plant Data'!$C67*0.85*8760)</f>
        <v>58927.644</v>
      </c>
      <c r="J67" s="65">
        <f>('Plant Data'!$C67*0.85*8760)</f>
        <v>58927.644</v>
      </c>
      <c r="K67" s="65">
        <f>('Plant Data'!$C67*0.85*8760)</f>
        <v>58927.644</v>
      </c>
      <c r="L67" s="65">
        <f>('Plant Data'!$C67*0.85*8760)</f>
        <v>58927.644</v>
      </c>
      <c r="M67" s="65">
        <f>('Plant Data'!$C67*0.85*8760)</f>
        <v>58927.644</v>
      </c>
      <c r="N67" s="65">
        <f>('Plant Data'!$C67*0.85*8760)</f>
        <v>58927.644</v>
      </c>
      <c r="O67" s="65">
        <f>('Plant Data'!$C67*0.85*8760)</f>
        <v>58927.644</v>
      </c>
      <c r="P67" s="65">
        <f>('Plant Data'!$C67*0.85*8760)</f>
        <v>58927.644</v>
      </c>
      <c r="Q67" s="65">
        <f>('Plant Data'!$C67*0.85*8760)</f>
        <v>58927.644</v>
      </c>
      <c r="R67" s="65">
        <f>('Plant Data'!$C67*0.85*8760)</f>
        <v>58927.644</v>
      </c>
      <c r="S67" s="65">
        <f>('Plant Data'!$C67*0.85*8760)</f>
        <v>58927.644</v>
      </c>
      <c r="T67" s="65">
        <f>('Plant Data'!$C67*0.85*8760)</f>
        <v>58927.644</v>
      </c>
      <c r="U67" s="65">
        <f>('Plant Data'!$C67*0.85*8760)</f>
        <v>58927.644</v>
      </c>
      <c r="V67" s="65">
        <f>('Plant Data'!$C67*0.85*8760)</f>
        <v>58927.644</v>
      </c>
      <c r="W67" s="65">
        <f>('Plant Data'!$C67*0.85*8760)</f>
        <v>58927.644</v>
      </c>
      <c r="X67" s="65">
        <f>('Plant Data'!$C67*0.85*8760)</f>
        <v>58927.644</v>
      </c>
      <c r="Y67" s="65">
        <f>('Plant Data'!$C67*0.85*8760)</f>
        <v>58927.644</v>
      </c>
      <c r="Z67" s="65">
        <f>('Plant Data'!$C67*0.85*8760)</f>
        <v>58927.644</v>
      </c>
      <c r="AA67" s="65">
        <f>('Plant Data'!$C67*0.85*8760)</f>
        <v>58927.644</v>
      </c>
      <c r="AB67" s="65">
        <f>('Plant Data'!$C67*0.85*8760)</f>
        <v>58927.644</v>
      </c>
      <c r="AC67" s="65">
        <f>('Plant Data'!$C67*0.85*8760)</f>
        <v>58927.644</v>
      </c>
      <c r="AD67" s="65">
        <f>('Plant Data'!$C67*0.85*8760)</f>
        <v>58927.644</v>
      </c>
      <c r="AE67" s="65">
        <f>('Plant Data'!$C67*0.85*8760)</f>
        <v>58927.644</v>
      </c>
      <c r="AF67" s="65">
        <f>('Plant Data'!$C67*0.85*8760)</f>
        <v>58927.644</v>
      </c>
      <c r="AG67" s="65">
        <f>('Plant Data'!$C67*0.85*8760)</f>
        <v>58927.644</v>
      </c>
      <c r="AH67" s="65">
        <f>('Plant Data'!$C67*0.85*8760)</f>
        <v>58927.644</v>
      </c>
      <c r="AI67" s="65">
        <f>('Plant Data'!$C67*0.85*8760)</f>
        <v>58927.644</v>
      </c>
      <c r="AJ67" s="65">
        <f>('Plant Data'!$C67*0.85*8760)</f>
        <v>58927.644</v>
      </c>
      <c r="AK67" s="65">
        <f>('Plant Data'!$C67*0.85*8760)</f>
        <v>58927.644</v>
      </c>
      <c r="AL67" s="65">
        <f>('Plant Data'!$C67*0.85*8760)</f>
        <v>58927.644</v>
      </c>
      <c r="AM67" s="65">
        <f>('Plant Data'!$C67*0.85*8760)</f>
        <v>58927.644</v>
      </c>
      <c r="AN67" s="65">
        <f>('Plant Data'!$C67*0.85*8760)</f>
        <v>58927.644</v>
      </c>
      <c r="AO67" s="65">
        <f>('Plant Data'!$C67*0.85*8760)</f>
        <v>58927.644</v>
      </c>
      <c r="AP67" s="65">
        <f>('Plant Data'!$C67*0.85*8760)</f>
        <v>58927.644</v>
      </c>
      <c r="AQ67" s="65">
        <f>('Plant Data'!$C67*0.85*8760)</f>
        <v>58927.644</v>
      </c>
      <c r="AR67" s="65">
        <f>('Plant Data'!$C67*0.85*8760)</f>
        <v>58927.644</v>
      </c>
      <c r="AS67" s="65">
        <f>('Plant Data'!$C67*0.85*8760)</f>
        <v>58927.644</v>
      </c>
      <c r="AT67" s="65">
        <f>('Plant Data'!$C67*0.85*8760)</f>
        <v>58927.644</v>
      </c>
      <c r="AU67" s="65">
        <f>('Plant Data'!$C67*0.85*8760)</f>
        <v>58927.644</v>
      </c>
    </row>
    <row r="68" spans="1:47" ht="15.75" customHeight="1" x14ac:dyDescent="0.2">
      <c r="A68" s="49" t="str">
        <f>IF('Plant Data'!A68="","",'Plant Data'!A68)</f>
        <v>United Pulp &amp; Paper power station</v>
      </c>
      <c r="B68" s="65">
        <f>('Plant Data'!C72*0.85*8760)</f>
        <v>58927.644</v>
      </c>
      <c r="C68" s="65">
        <f>('Plant Data'!$C68*0.85*8760)</f>
        <v>58927.644</v>
      </c>
      <c r="D68" s="65">
        <f>('Plant Data'!$C68*0.85*8760)</f>
        <v>58927.644</v>
      </c>
      <c r="E68" s="65">
        <f>('Plant Data'!$C68*0.85*8760)</f>
        <v>58927.644</v>
      </c>
      <c r="F68" s="65">
        <f>('Plant Data'!$C68*0.85*8760)</f>
        <v>58927.644</v>
      </c>
      <c r="G68" s="65">
        <f>('Plant Data'!$C68*0.85*8760)</f>
        <v>58927.644</v>
      </c>
      <c r="H68" s="65">
        <f>('Plant Data'!$C68*0.85*8760)</f>
        <v>58927.644</v>
      </c>
      <c r="I68" s="65">
        <f>('Plant Data'!$C68*0.85*8760)</f>
        <v>58927.644</v>
      </c>
      <c r="J68" s="65">
        <f>('Plant Data'!$C68*0.85*8760)</f>
        <v>58927.644</v>
      </c>
      <c r="K68" s="65">
        <f>('Plant Data'!$C68*0.85*8760)</f>
        <v>58927.644</v>
      </c>
      <c r="L68" s="65">
        <f>('Plant Data'!$C68*0.85*8760)</f>
        <v>58927.644</v>
      </c>
      <c r="M68" s="65">
        <f>('Plant Data'!$C68*0.85*8760)</f>
        <v>58927.644</v>
      </c>
      <c r="N68" s="65">
        <f>('Plant Data'!$C68*0.85*8760)</f>
        <v>58927.644</v>
      </c>
      <c r="O68" s="65">
        <f>('Plant Data'!$C68*0.85*8760)</f>
        <v>58927.644</v>
      </c>
      <c r="P68" s="65">
        <f>('Plant Data'!$C68*0.85*8760)</f>
        <v>58927.644</v>
      </c>
      <c r="Q68" s="65">
        <f>('Plant Data'!$C68*0.85*8760)</f>
        <v>58927.644</v>
      </c>
      <c r="R68" s="65">
        <f>('Plant Data'!$C68*0.85*8760)</f>
        <v>58927.644</v>
      </c>
      <c r="S68" s="65">
        <f>('Plant Data'!$C68*0.85*8760)</f>
        <v>58927.644</v>
      </c>
      <c r="T68" s="65">
        <f>('Plant Data'!$C68*0.85*8760)</f>
        <v>58927.644</v>
      </c>
      <c r="U68" s="65">
        <f>('Plant Data'!$C68*0.85*8760)</f>
        <v>58927.644</v>
      </c>
      <c r="V68" s="65">
        <f>('Plant Data'!$C68*0.85*8760)</f>
        <v>58927.644</v>
      </c>
      <c r="W68" s="65">
        <f>('Plant Data'!$C68*0.85*8760)</f>
        <v>58927.644</v>
      </c>
      <c r="X68" s="65">
        <f>('Plant Data'!$C68*0.85*8760)</f>
        <v>58927.644</v>
      </c>
      <c r="Y68" s="65">
        <f>('Plant Data'!$C68*0.85*8760)</f>
        <v>58927.644</v>
      </c>
      <c r="Z68" s="65">
        <f>('Plant Data'!$C68*0.85*8760)</f>
        <v>58927.644</v>
      </c>
      <c r="AA68" s="65">
        <f>('Plant Data'!$C68*0.85*8760)</f>
        <v>58927.644</v>
      </c>
      <c r="AB68" s="65">
        <f>('Plant Data'!$C68*0.85*8760)</f>
        <v>58927.644</v>
      </c>
      <c r="AC68" s="65">
        <f>('Plant Data'!$C68*0.85*8760)</f>
        <v>58927.644</v>
      </c>
      <c r="AD68" s="65">
        <f>('Plant Data'!$C68*0.85*8760)</f>
        <v>58927.644</v>
      </c>
      <c r="AE68" s="65">
        <f>('Plant Data'!$C68*0.85*8760)</f>
        <v>58927.644</v>
      </c>
      <c r="AF68" s="65">
        <f>('Plant Data'!$C68*0.85*8760)</f>
        <v>58927.644</v>
      </c>
      <c r="AG68" s="65">
        <f>('Plant Data'!$C68*0.85*8760)</f>
        <v>58927.644</v>
      </c>
      <c r="AH68" s="65">
        <f>('Plant Data'!$C68*0.85*8760)</f>
        <v>58927.644</v>
      </c>
      <c r="AI68" s="65">
        <f>('Plant Data'!$C68*0.85*8760)</f>
        <v>58927.644</v>
      </c>
      <c r="AJ68" s="65">
        <f>('Plant Data'!$C68*0.85*8760)</f>
        <v>58927.644</v>
      </c>
      <c r="AK68" s="65">
        <f>('Plant Data'!$C68*0.85*8760)</f>
        <v>58927.644</v>
      </c>
      <c r="AL68" s="65">
        <f>('Plant Data'!$C68*0.85*8760)</f>
        <v>58927.644</v>
      </c>
      <c r="AM68" s="65">
        <f>('Plant Data'!$C68*0.85*8760)</f>
        <v>58927.644</v>
      </c>
      <c r="AN68" s="65">
        <f>('Plant Data'!$C68*0.85*8760)</f>
        <v>58927.644</v>
      </c>
      <c r="AO68" s="65">
        <f>('Plant Data'!$C68*0.85*8760)</f>
        <v>58927.644</v>
      </c>
      <c r="AP68" s="65">
        <f>('Plant Data'!$C68*0.85*8760)</f>
        <v>58927.644</v>
      </c>
      <c r="AQ68" s="65">
        <f>('Plant Data'!$C68*0.85*8760)</f>
        <v>58927.644</v>
      </c>
      <c r="AR68" s="65">
        <f>('Plant Data'!$C68*0.85*8760)</f>
        <v>58927.644</v>
      </c>
      <c r="AS68" s="65">
        <f>('Plant Data'!$C68*0.85*8760)</f>
        <v>58927.644</v>
      </c>
      <c r="AT68" s="65">
        <f>('Plant Data'!$C68*0.85*8760)</f>
        <v>58927.644</v>
      </c>
      <c r="AU68" s="65">
        <f>('Plant Data'!$C68*0.85*8760)</f>
        <v>58927.644</v>
      </c>
    </row>
    <row r="69" spans="1:47" ht="15.75" customHeight="1" x14ac:dyDescent="0.2">
      <c r="A69" s="49" t="s">
        <v>54</v>
      </c>
    </row>
    <row r="70" spans="1:47" ht="15.75" customHeight="1" x14ac:dyDescent="0.2">
      <c r="A70" s="49" t="s">
        <v>54</v>
      </c>
    </row>
    <row r="71" spans="1:47" ht="15.75" customHeight="1" x14ac:dyDescent="0.2">
      <c r="A71" s="49" t="s">
        <v>54</v>
      </c>
    </row>
    <row r="72" spans="1:47" ht="15.75" customHeight="1" x14ac:dyDescent="0.2">
      <c r="A72" s="49" t="s">
        <v>54</v>
      </c>
    </row>
    <row r="73" spans="1:47" ht="15.75" customHeight="1" x14ac:dyDescent="0.2">
      <c r="A73" s="49" t="s">
        <v>54</v>
      </c>
    </row>
    <row r="74" spans="1:47" ht="15.75" customHeight="1" x14ac:dyDescent="0.2">
      <c r="A74" s="49" t="s">
        <v>54</v>
      </c>
    </row>
    <row r="75" spans="1:47" ht="15.75" customHeight="1" x14ac:dyDescent="0.2">
      <c r="A75" s="49" t="s">
        <v>54</v>
      </c>
    </row>
    <row r="76" spans="1:47" ht="15.75" customHeight="1" x14ac:dyDescent="0.2">
      <c r="A76" s="49" t="s">
        <v>54</v>
      </c>
    </row>
    <row r="77" spans="1:47" ht="15.75" customHeight="1" x14ac:dyDescent="0.2">
      <c r="A77" s="49" t="s">
        <v>54</v>
      </c>
    </row>
    <row r="78" spans="1:47" ht="15.75" customHeight="1" x14ac:dyDescent="0.2">
      <c r="A78" s="49" t="s">
        <v>54</v>
      </c>
    </row>
    <row r="79" spans="1:47" ht="15.75" customHeight="1" x14ac:dyDescent="0.2">
      <c r="A79" s="49" t="s">
        <v>54</v>
      </c>
    </row>
    <row r="80" spans="1:47" ht="15.75" customHeight="1" x14ac:dyDescent="0.2">
      <c r="A80" s="49" t="s">
        <v>54</v>
      </c>
    </row>
    <row r="81" spans="1:1" ht="15.75" customHeight="1" x14ac:dyDescent="0.2">
      <c r="A81" s="49" t="s">
        <v>54</v>
      </c>
    </row>
    <row r="82" spans="1:1" ht="15.75" customHeight="1" x14ac:dyDescent="0.2">
      <c r="A82" s="49" t="s">
        <v>54</v>
      </c>
    </row>
    <row r="83" spans="1:1" ht="15.75" customHeight="1" x14ac:dyDescent="0.2">
      <c r="A83" s="49" t="s">
        <v>54</v>
      </c>
    </row>
    <row r="84" spans="1:1" ht="15.75" customHeight="1" x14ac:dyDescent="0.2">
      <c r="A84" s="49" t="s">
        <v>54</v>
      </c>
    </row>
    <row r="85" spans="1:1" ht="15.75" customHeight="1" x14ac:dyDescent="0.2">
      <c r="A85" s="49" t="s">
        <v>54</v>
      </c>
    </row>
    <row r="86" spans="1:1" ht="15.75" customHeight="1" x14ac:dyDescent="0.2">
      <c r="A86" s="49" t="s">
        <v>54</v>
      </c>
    </row>
    <row r="87" spans="1:1" ht="15.75" customHeight="1" x14ac:dyDescent="0.2">
      <c r="A87" s="49" t="s">
        <v>54</v>
      </c>
    </row>
    <row r="88" spans="1:1" ht="15.75" customHeight="1" x14ac:dyDescent="0.2">
      <c r="A88" s="49" t="s">
        <v>54</v>
      </c>
    </row>
    <row r="89" spans="1:1" ht="15.75" customHeight="1" x14ac:dyDescent="0.2">
      <c r="A89" s="49" t="str">
        <f>IF('Plant Data'!A93="","",'Plant Data'!A93)</f>
        <v/>
      </c>
    </row>
    <row r="90" spans="1:1" ht="15.75" customHeight="1" x14ac:dyDescent="0.2">
      <c r="A90" s="49" t="str">
        <f>IF('Plant Data'!A94="","",'Plant Data'!A94)</f>
        <v/>
      </c>
    </row>
    <row r="91" spans="1:1" ht="15.75" customHeight="1" x14ac:dyDescent="0.2">
      <c r="A91" s="49" t="str">
        <f>IF('Plant Data'!A95="","",'Plant Data'!A95)</f>
        <v/>
      </c>
    </row>
    <row r="92" spans="1:1" ht="15.75" customHeight="1" x14ac:dyDescent="0.2">
      <c r="A92" s="49" t="str">
        <f>IF('Plant Data'!A96="","",'Plant Data'!A96)</f>
        <v/>
      </c>
    </row>
    <row r="93" spans="1:1" ht="15.75" customHeight="1" x14ac:dyDescent="0.2">
      <c r="A93" s="49" t="str">
        <f>IF('Plant Data'!A97="","",'Plant Data'!A97)</f>
        <v/>
      </c>
    </row>
    <row r="94" spans="1:1" ht="15.75" customHeight="1" x14ac:dyDescent="0.2">
      <c r="A94" s="49" t="str">
        <f>IF('Plant Data'!A98="","",'Plant Data'!A98)</f>
        <v/>
      </c>
    </row>
    <row r="95" spans="1:1" ht="15.75" customHeight="1" x14ac:dyDescent="0.2">
      <c r="A95" s="49" t="str">
        <f>IF('Plant Data'!A99="","",'Plant Data'!A99)</f>
        <v/>
      </c>
    </row>
    <row r="96" spans="1:1" ht="15.75" customHeight="1" x14ac:dyDescent="0.2">
      <c r="A96" s="49" t="str">
        <f>IF('Plant Data'!A100="","",'Plant Data'!A100)</f>
        <v/>
      </c>
    </row>
    <row r="97" spans="1:1" ht="15.75" customHeight="1" x14ac:dyDescent="0.2">
      <c r="A97" s="49" t="str">
        <f>IF('Plant Data'!A101="","",'Plant Data'!A101)</f>
        <v/>
      </c>
    </row>
    <row r="98" spans="1:1" ht="15.75" customHeight="1" x14ac:dyDescent="0.2">
      <c r="A98" s="49" t="str">
        <f>IF('Plant Data'!A102="","",'Plant Data'!A102)</f>
        <v/>
      </c>
    </row>
    <row r="99" spans="1:1" ht="15.75" customHeight="1" x14ac:dyDescent="0.2">
      <c r="A99" s="49" t="str">
        <f>IF('Plant Data'!A103="","",'Plant Data'!A103)</f>
        <v/>
      </c>
    </row>
    <row r="100" spans="1:1" ht="15.75" customHeight="1" x14ac:dyDescent="0.2">
      <c r="A100" s="49" t="str">
        <f>IF('Plant Data'!A104="","",'Plant Data'!A104)</f>
        <v/>
      </c>
    </row>
    <row r="101" spans="1:1" ht="15.75" customHeight="1" x14ac:dyDescent="0.2">
      <c r="A101" s="49" t="str">
        <f>IF('Plant Data'!A105="","",'Plant Data'!A105)</f>
        <v/>
      </c>
    </row>
    <row r="102" spans="1:1" ht="15.75" customHeight="1" x14ac:dyDescent="0.2">
      <c r="A102" s="49" t="str">
        <f>IF('Plant Data'!A106="","",'Plant Data'!A106)</f>
        <v/>
      </c>
    </row>
    <row r="103" spans="1:1" ht="15.75" customHeight="1" x14ac:dyDescent="0.2">
      <c r="A103" s="49" t="str">
        <f>IF('Plant Data'!A107="","",'Plant Data'!A107)</f>
        <v/>
      </c>
    </row>
    <row r="104" spans="1:1" ht="15.75" customHeight="1" x14ac:dyDescent="0.2">
      <c r="A104" s="49" t="str">
        <f>IF('Plant Data'!A108="","",'Plant Data'!A108)</f>
        <v/>
      </c>
    </row>
    <row r="105" spans="1:1" ht="15.75" customHeight="1" x14ac:dyDescent="0.2">
      <c r="A105" s="49" t="str">
        <f>IF('Plant Data'!A109="","",'Plant Data'!A109)</f>
        <v/>
      </c>
    </row>
    <row r="106" spans="1:1" ht="15.75" customHeight="1" x14ac:dyDescent="0.2">
      <c r="A106" s="49" t="str">
        <f>IF('Plant Data'!A110="","",'Plant Data'!A110)</f>
        <v/>
      </c>
    </row>
    <row r="107" spans="1:1" ht="15.75" customHeight="1" x14ac:dyDescent="0.2">
      <c r="A107" s="49" t="str">
        <f>IF('Plant Data'!A111="","",'Plant Data'!A111)</f>
        <v/>
      </c>
    </row>
    <row r="108" spans="1:1" ht="15.75" customHeight="1" x14ac:dyDescent="0.2">
      <c r="A108" s="49" t="str">
        <f>IF('Plant Data'!A112="","",'Plant Data'!A112)</f>
        <v/>
      </c>
    </row>
    <row r="109" spans="1:1" ht="15.75" customHeight="1" x14ac:dyDescent="0.2">
      <c r="A109" s="49" t="str">
        <f>IF('Plant Data'!A113="","",'Plant Data'!A113)</f>
        <v/>
      </c>
    </row>
    <row r="110" spans="1:1" ht="15.75" customHeight="1" x14ac:dyDescent="0.2">
      <c r="A110" s="49" t="str">
        <f>IF('Plant Data'!A114="","",'Plant Data'!A114)</f>
        <v/>
      </c>
    </row>
    <row r="111" spans="1:1" ht="15.75" customHeight="1" x14ac:dyDescent="0.2">
      <c r="A111" s="49" t="str">
        <f>IF('Plant Data'!A115="","",'Plant Data'!A115)</f>
        <v/>
      </c>
    </row>
    <row r="112" spans="1:1" ht="15.75" customHeight="1" x14ac:dyDescent="0.2">
      <c r="A112" s="49" t="str">
        <f>IF('Plant Data'!A116="","",'Plant Data'!A116)</f>
        <v/>
      </c>
    </row>
    <row r="113" spans="1:1" ht="15.75" customHeight="1" x14ac:dyDescent="0.2">
      <c r="A113" s="49" t="str">
        <f>IF('Plant Data'!A117="","",'Plant Data'!A117)</f>
        <v/>
      </c>
    </row>
    <row r="114" spans="1:1" ht="15.75" customHeight="1" x14ac:dyDescent="0.2">
      <c r="A114" s="49" t="str">
        <f>IF('Plant Data'!A118="","",'Plant Data'!A118)</f>
        <v/>
      </c>
    </row>
    <row r="115" spans="1:1" ht="15.75" customHeight="1" x14ac:dyDescent="0.2">
      <c r="A115" s="49" t="str">
        <f>IF('Plant Data'!A119="","",'Plant Data'!A119)</f>
        <v/>
      </c>
    </row>
    <row r="116" spans="1:1" ht="15.75" customHeight="1" x14ac:dyDescent="0.2">
      <c r="A116" s="49" t="str">
        <f>IF('Plant Data'!A120="","",'Plant Data'!A120)</f>
        <v/>
      </c>
    </row>
    <row r="117" spans="1:1" ht="15.75" customHeight="1" x14ac:dyDescent="0.2">
      <c r="A117" s="49" t="str">
        <f>IF('Plant Data'!A121="","",'Plant Data'!A121)</f>
        <v/>
      </c>
    </row>
    <row r="118" spans="1:1" ht="15.75" customHeight="1" x14ac:dyDescent="0.2">
      <c r="A118" s="49" t="str">
        <f>IF('Plant Data'!A122="","",'Plant Data'!A122)</f>
        <v/>
      </c>
    </row>
    <row r="119" spans="1:1" ht="15.75" customHeight="1" x14ac:dyDescent="0.2">
      <c r="A119" s="49" t="str">
        <f>IF('Plant Data'!A123="","",'Plant Data'!A123)</f>
        <v/>
      </c>
    </row>
    <row r="120" spans="1:1" ht="15.75" customHeight="1" x14ac:dyDescent="0.2">
      <c r="A120" s="49" t="str">
        <f>IF('Plant Data'!A124="","",'Plant Data'!A124)</f>
        <v/>
      </c>
    </row>
    <row r="121" spans="1:1" ht="15.75" customHeight="1" x14ac:dyDescent="0.2">
      <c r="A121" s="49" t="str">
        <f>IF('Plant Data'!A125="","",'Plant Data'!A125)</f>
        <v/>
      </c>
    </row>
    <row r="122" spans="1:1" ht="15.75" customHeight="1" x14ac:dyDescent="0.2">
      <c r="A122" s="49" t="str">
        <f>IF('Plant Data'!A126="","",'Plant Data'!A126)</f>
        <v/>
      </c>
    </row>
    <row r="123" spans="1:1" ht="15.75" customHeight="1" x14ac:dyDescent="0.2">
      <c r="A123" s="49" t="str">
        <f>IF('Plant Data'!A127="","",'Plant Data'!A127)</f>
        <v/>
      </c>
    </row>
    <row r="124" spans="1:1" ht="15.75" customHeight="1" x14ac:dyDescent="0.2">
      <c r="A124" s="49" t="str">
        <f>IF('Plant Data'!A128="","",'Plant Data'!A128)</f>
        <v/>
      </c>
    </row>
    <row r="125" spans="1:1" ht="15.75" customHeight="1" x14ac:dyDescent="0.2">
      <c r="A125" s="49" t="str">
        <f>IF('Plant Data'!A129="","",'Plant Data'!A129)</f>
        <v/>
      </c>
    </row>
    <row r="126" spans="1:1" ht="15.75" customHeight="1" x14ac:dyDescent="0.2">
      <c r="A126" s="49" t="str">
        <f>IF('Plant Data'!A130="","",'Plant Data'!A130)</f>
        <v/>
      </c>
    </row>
    <row r="127" spans="1:1" ht="15.75" customHeight="1" x14ac:dyDescent="0.2">
      <c r="A127" s="49" t="str">
        <f>IF('Plant Data'!A131="","",'Plant Data'!A131)</f>
        <v/>
      </c>
    </row>
    <row r="128" spans="1:1" ht="15.75" customHeight="1" x14ac:dyDescent="0.2">
      <c r="A128" s="49" t="str">
        <f>IF('Plant Data'!A132="","",'Plant Data'!A132)</f>
        <v/>
      </c>
    </row>
    <row r="129" spans="1:1" ht="15.75" customHeight="1" x14ac:dyDescent="0.2">
      <c r="A129" s="49" t="str">
        <f>IF('Plant Data'!A133="","",'Plant Data'!A133)</f>
        <v/>
      </c>
    </row>
    <row r="130" spans="1:1" ht="15.75" customHeight="1" x14ac:dyDescent="0.2">
      <c r="A130" s="49" t="str">
        <f>IF('Plant Data'!A134="","",'Plant Data'!A134)</f>
        <v/>
      </c>
    </row>
    <row r="131" spans="1:1" ht="15.75" customHeight="1" x14ac:dyDescent="0.2">
      <c r="A131" s="49" t="str">
        <f>IF('Plant Data'!A135="","",'Plant Data'!A135)</f>
        <v/>
      </c>
    </row>
    <row r="132" spans="1:1" ht="15.75" customHeight="1" x14ac:dyDescent="0.2">
      <c r="A132" s="49" t="str">
        <f>IF('Plant Data'!A136="","",'Plant Data'!A136)</f>
        <v/>
      </c>
    </row>
    <row r="133" spans="1:1" ht="15.75" customHeight="1" x14ac:dyDescent="0.2">
      <c r="A133" s="49" t="str">
        <f>IF('Plant Data'!A137="","",'Plant Data'!A137)</f>
        <v/>
      </c>
    </row>
    <row r="134" spans="1:1" ht="15.75" customHeight="1" x14ac:dyDescent="0.2">
      <c r="A134" s="49" t="str">
        <f>IF('Plant Data'!A138="","",'Plant Data'!A138)</f>
        <v/>
      </c>
    </row>
    <row r="135" spans="1:1" ht="15.75" customHeight="1" x14ac:dyDescent="0.2">
      <c r="A135" s="49" t="str">
        <f>IF('Plant Data'!A139="","",'Plant Data'!A139)</f>
        <v/>
      </c>
    </row>
    <row r="136" spans="1:1" ht="15.75" customHeight="1" x14ac:dyDescent="0.2">
      <c r="A136" s="49" t="str">
        <f>IF('Plant Data'!A140="","",'Plant Data'!A140)</f>
        <v/>
      </c>
    </row>
    <row r="137" spans="1:1" ht="15.75" customHeight="1" x14ac:dyDescent="0.2">
      <c r="A137" s="49" t="str">
        <f>IF('Plant Data'!A141="","",'Plant Data'!A141)</f>
        <v/>
      </c>
    </row>
    <row r="138" spans="1:1" ht="15.75" customHeight="1" x14ac:dyDescent="0.2">
      <c r="A138" s="49" t="str">
        <f>IF('Plant Data'!A142="","",'Plant Data'!A142)</f>
        <v/>
      </c>
    </row>
    <row r="139" spans="1:1" ht="15.75" customHeight="1" x14ac:dyDescent="0.2">
      <c r="A139" s="49" t="str">
        <f>IF('Plant Data'!A143="","",'Plant Data'!A143)</f>
        <v/>
      </c>
    </row>
    <row r="140" spans="1:1" ht="15.75" customHeight="1" x14ac:dyDescent="0.2">
      <c r="A140" s="49" t="str">
        <f>IF('Plant Data'!A144="","",'Plant Data'!A144)</f>
        <v/>
      </c>
    </row>
    <row r="141" spans="1:1" ht="15.75" customHeight="1" x14ac:dyDescent="0.2">
      <c r="A141" s="49" t="str">
        <f>IF('Plant Data'!A145="","",'Plant Data'!A145)</f>
        <v/>
      </c>
    </row>
    <row r="142" spans="1:1" ht="15.75" customHeight="1" x14ac:dyDescent="0.2">
      <c r="A142" s="49" t="str">
        <f>IF('Plant Data'!A146="","",'Plant Data'!A146)</f>
        <v/>
      </c>
    </row>
    <row r="143" spans="1:1" ht="15.75" customHeight="1" x14ac:dyDescent="0.2">
      <c r="A143" s="49" t="str">
        <f>IF('Plant Data'!A147="","",'Plant Data'!A147)</f>
        <v/>
      </c>
    </row>
    <row r="144" spans="1:1" ht="15.75" customHeight="1" x14ac:dyDescent="0.2">
      <c r="A144" s="49" t="str">
        <f>IF('Plant Data'!A148="","",'Plant Data'!A148)</f>
        <v/>
      </c>
    </row>
    <row r="145" spans="1:1" ht="15.75" customHeight="1" x14ac:dyDescent="0.2">
      <c r="A145" s="49" t="str">
        <f>IF('Plant Data'!A149="","",'Plant Data'!A149)</f>
        <v/>
      </c>
    </row>
    <row r="146" spans="1:1" ht="15.75" customHeight="1" x14ac:dyDescent="0.2">
      <c r="A146" s="49" t="str">
        <f>IF('Plant Data'!A150="","",'Plant Data'!A150)</f>
        <v/>
      </c>
    </row>
    <row r="147" spans="1:1" ht="15.75" customHeight="1" x14ac:dyDescent="0.2">
      <c r="A147" s="49" t="str">
        <f>IF('Plant Data'!A151="","",'Plant Data'!A151)</f>
        <v/>
      </c>
    </row>
    <row r="148" spans="1:1" ht="15.75" customHeight="1" x14ac:dyDescent="0.2">
      <c r="A148" s="49" t="str">
        <f>IF('Plant Data'!A152="","",'Plant Data'!A152)</f>
        <v/>
      </c>
    </row>
    <row r="149" spans="1:1" ht="15.75" customHeight="1" x14ac:dyDescent="0.2">
      <c r="A149" s="49" t="str">
        <f>IF('Plant Data'!A153="","",'Plant Data'!A153)</f>
        <v/>
      </c>
    </row>
    <row r="150" spans="1:1" ht="15.75" customHeight="1" x14ac:dyDescent="0.2">
      <c r="A150" s="49" t="str">
        <f>IF('Plant Data'!A154="","",'Plant Data'!A154)</f>
        <v/>
      </c>
    </row>
    <row r="151" spans="1:1" ht="15.75" customHeight="1" x14ac:dyDescent="0.2">
      <c r="A151" s="49" t="str">
        <f>IF('Plant Data'!A155="","",'Plant Data'!A155)</f>
        <v/>
      </c>
    </row>
    <row r="152" spans="1:1" ht="15.75" customHeight="1" x14ac:dyDescent="0.2">
      <c r="A152" s="49" t="str">
        <f>IF('Plant Data'!A156="","",'Plant Data'!A156)</f>
        <v/>
      </c>
    </row>
    <row r="153" spans="1:1" ht="15.75" customHeight="1" x14ac:dyDescent="0.2">
      <c r="A153" s="49" t="str">
        <f>IF('Plant Data'!A157="","",'Plant Data'!A157)</f>
        <v/>
      </c>
    </row>
    <row r="154" spans="1:1" ht="15.75" customHeight="1" x14ac:dyDescent="0.2">
      <c r="A154" s="49" t="str">
        <f>IF('Plant Data'!A158="","",'Plant Data'!A158)</f>
        <v/>
      </c>
    </row>
    <row r="155" spans="1:1" ht="15.75" customHeight="1" x14ac:dyDescent="0.2">
      <c r="A155" s="49" t="str">
        <f>IF('Plant Data'!A159="","",'Plant Data'!A159)</f>
        <v/>
      </c>
    </row>
    <row r="156" spans="1:1" ht="15.75" customHeight="1" x14ac:dyDescent="0.2">
      <c r="A156" s="49" t="str">
        <f>IF('Plant Data'!A160="","",'Plant Data'!A160)</f>
        <v/>
      </c>
    </row>
    <row r="157" spans="1:1" ht="15.75" customHeight="1" x14ac:dyDescent="0.2">
      <c r="A157" s="49" t="str">
        <f>IF('Plant Data'!A161="","",'Plant Data'!A161)</f>
        <v/>
      </c>
    </row>
    <row r="158" spans="1:1" ht="15.75" customHeight="1" x14ac:dyDescent="0.2">
      <c r="A158" s="49" t="str">
        <f>IF('Plant Data'!A162="","",'Plant Data'!A162)</f>
        <v/>
      </c>
    </row>
    <row r="159" spans="1:1" ht="15.75" customHeight="1" x14ac:dyDescent="0.2">
      <c r="A159" s="49" t="str">
        <f>IF('Plant Data'!A163="","",'Plant Data'!A163)</f>
        <v/>
      </c>
    </row>
    <row r="160" spans="1:1" ht="15.75" customHeight="1" x14ac:dyDescent="0.2">
      <c r="A160" s="49" t="str">
        <f>IF('Plant Data'!A164="","",'Plant Data'!A164)</f>
        <v/>
      </c>
    </row>
    <row r="161" spans="1:1" ht="15.75" customHeight="1" x14ac:dyDescent="0.2">
      <c r="A161" s="49" t="str">
        <f>IF('Plant Data'!A165="","",'Plant Data'!A165)</f>
        <v/>
      </c>
    </row>
    <row r="162" spans="1:1" ht="15.75" customHeight="1" x14ac:dyDescent="0.2">
      <c r="A162" s="49" t="str">
        <f>IF('Plant Data'!A166="","",'Plant Data'!A166)</f>
        <v/>
      </c>
    </row>
    <row r="163" spans="1:1" ht="15.75" customHeight="1" x14ac:dyDescent="0.2">
      <c r="A163" s="49" t="str">
        <f>IF('Plant Data'!A167="","",'Plant Data'!A167)</f>
        <v/>
      </c>
    </row>
    <row r="164" spans="1:1" ht="15.75" customHeight="1" x14ac:dyDescent="0.2">
      <c r="A164" s="49" t="str">
        <f>IF('Plant Data'!A168="","",'Plant Data'!A168)</f>
        <v/>
      </c>
    </row>
    <row r="165" spans="1:1" ht="15.75" customHeight="1" x14ac:dyDescent="0.2">
      <c r="A165" s="49" t="str">
        <f>IF('Plant Data'!A169="","",'Plant Data'!A169)</f>
        <v/>
      </c>
    </row>
    <row r="166" spans="1:1" ht="15.75" customHeight="1" x14ac:dyDescent="0.2">
      <c r="A166" s="49" t="str">
        <f>IF('Plant Data'!A170="","",'Plant Data'!A170)</f>
        <v/>
      </c>
    </row>
    <row r="167" spans="1:1" ht="15.75" customHeight="1" x14ac:dyDescent="0.2">
      <c r="A167" s="49" t="str">
        <f>IF('Plant Data'!A171="","",'Plant Data'!A171)</f>
        <v/>
      </c>
    </row>
    <row r="168" spans="1:1" ht="15.75" customHeight="1" x14ac:dyDescent="0.2">
      <c r="A168" s="49" t="str">
        <f>IF('Plant Data'!A172="","",'Plant Data'!A172)</f>
        <v/>
      </c>
    </row>
    <row r="169" spans="1:1" ht="15.75" customHeight="1" x14ac:dyDescent="0.2">
      <c r="A169" s="49" t="str">
        <f>IF('Plant Data'!A173="","",'Plant Data'!A173)</f>
        <v/>
      </c>
    </row>
    <row r="170" spans="1:1" ht="15.75" customHeight="1" x14ac:dyDescent="0.2">
      <c r="A170" s="49" t="str">
        <f>IF('Plant Data'!A174="","",'Plant Data'!A174)</f>
        <v/>
      </c>
    </row>
    <row r="171" spans="1:1" ht="15.75" customHeight="1" x14ac:dyDescent="0.2">
      <c r="A171" s="49" t="str">
        <f>IF('Plant Data'!A175="","",'Plant Data'!A175)</f>
        <v/>
      </c>
    </row>
    <row r="172" spans="1:1" ht="15.75" customHeight="1" x14ac:dyDescent="0.2">
      <c r="A172" s="49" t="str">
        <f>IF('Plant Data'!A176="","",'Plant Data'!A176)</f>
        <v/>
      </c>
    </row>
    <row r="173" spans="1:1" ht="15.75" customHeight="1" x14ac:dyDescent="0.2">
      <c r="A173" s="49" t="str">
        <f>IF('Plant Data'!A177="","",'Plant Data'!A177)</f>
        <v/>
      </c>
    </row>
    <row r="174" spans="1:1" ht="15.75" customHeight="1" x14ac:dyDescent="0.2">
      <c r="A174" s="49" t="str">
        <f>IF('Plant Data'!A178="","",'Plant Data'!A178)</f>
        <v/>
      </c>
    </row>
    <row r="175" spans="1:1" ht="15.75" customHeight="1" x14ac:dyDescent="0.2">
      <c r="A175" s="49" t="str">
        <f>IF('Plant Data'!A179="","",'Plant Data'!A179)</f>
        <v/>
      </c>
    </row>
    <row r="176" spans="1:1" ht="15.75" customHeight="1" x14ac:dyDescent="0.2">
      <c r="A176" s="49" t="str">
        <f>IF('Plant Data'!A180="","",'Plant Data'!A180)</f>
        <v/>
      </c>
    </row>
    <row r="177" spans="1:1" ht="15.75" customHeight="1" x14ac:dyDescent="0.2">
      <c r="A177" s="49" t="str">
        <f>IF('Plant Data'!A181="","",'Plant Data'!A181)</f>
        <v/>
      </c>
    </row>
    <row r="178" spans="1:1" ht="15.75" customHeight="1" x14ac:dyDescent="0.2">
      <c r="A178" s="49" t="str">
        <f>IF('Plant Data'!A182="","",'Plant Data'!A182)</f>
        <v/>
      </c>
    </row>
    <row r="179" spans="1:1" ht="15.75" customHeight="1" x14ac:dyDescent="0.2">
      <c r="A179" s="49" t="str">
        <f>IF('Plant Data'!A183="","",'Plant Data'!A183)</f>
        <v/>
      </c>
    </row>
    <row r="180" spans="1:1" ht="15.75" customHeight="1" x14ac:dyDescent="0.2">
      <c r="A180" s="49" t="str">
        <f>IF('Plant Data'!A184="","",'Plant Data'!A184)</f>
        <v/>
      </c>
    </row>
    <row r="181" spans="1:1" ht="15.75" customHeight="1" x14ac:dyDescent="0.2">
      <c r="A181" s="49" t="str">
        <f>IF('Plant Data'!A185="","",'Plant Data'!A185)</f>
        <v/>
      </c>
    </row>
    <row r="182" spans="1:1" ht="15.75" customHeight="1" x14ac:dyDescent="0.2">
      <c r="A182" s="49" t="str">
        <f>IF('Plant Data'!A186="","",'Plant Data'!A186)</f>
        <v/>
      </c>
    </row>
    <row r="183" spans="1:1" ht="15.75" customHeight="1" x14ac:dyDescent="0.2">
      <c r="A183" s="49" t="str">
        <f>IF('Plant Data'!A187="","",'Plant Data'!A187)</f>
        <v/>
      </c>
    </row>
    <row r="184" spans="1:1" ht="15.75" customHeight="1" x14ac:dyDescent="0.2">
      <c r="A184" s="49" t="str">
        <f>IF('Plant Data'!A188="","",'Plant Data'!A188)</f>
        <v/>
      </c>
    </row>
    <row r="185" spans="1:1" ht="15.75" customHeight="1" x14ac:dyDescent="0.2">
      <c r="A185" s="49" t="str">
        <f>IF('Plant Data'!A189="","",'Plant Data'!A189)</f>
        <v/>
      </c>
    </row>
    <row r="186" spans="1:1" ht="15.75" customHeight="1" x14ac:dyDescent="0.2">
      <c r="A186" s="49" t="str">
        <f>IF('Plant Data'!A190="","",'Plant Data'!A190)</f>
        <v/>
      </c>
    </row>
    <row r="187" spans="1:1" ht="15.75" customHeight="1" x14ac:dyDescent="0.2">
      <c r="A187" s="49" t="str">
        <f>IF('Plant Data'!A191="","",'Plant Data'!A191)</f>
        <v/>
      </c>
    </row>
    <row r="188" spans="1:1" ht="15.75" customHeight="1" x14ac:dyDescent="0.2">
      <c r="A188" s="49" t="str">
        <f>IF('Plant Data'!A192="","",'Plant Data'!A192)</f>
        <v/>
      </c>
    </row>
    <row r="189" spans="1:1" ht="15.75" customHeight="1" x14ac:dyDescent="0.2">
      <c r="A189" s="49" t="str">
        <f>IF('Plant Data'!A193="","",'Plant Data'!A193)</f>
        <v/>
      </c>
    </row>
    <row r="190" spans="1:1" ht="15.75" customHeight="1" x14ac:dyDescent="0.2">
      <c r="A190" s="49" t="str">
        <f>IF('Plant Data'!A194="","",'Plant Data'!A194)</f>
        <v/>
      </c>
    </row>
    <row r="191" spans="1:1" ht="15.75" customHeight="1" x14ac:dyDescent="0.2">
      <c r="A191" s="49" t="str">
        <f>IF('Plant Data'!A195="","",'Plant Data'!A195)</f>
        <v/>
      </c>
    </row>
    <row r="192" spans="1:1" ht="15.75" customHeight="1" x14ac:dyDescent="0.2">
      <c r="A192" s="49" t="str">
        <f>IF('Plant Data'!A196="","",'Plant Data'!A196)</f>
        <v/>
      </c>
    </row>
    <row r="193" spans="1:1" ht="15.75" customHeight="1" x14ac:dyDescent="0.2">
      <c r="A193" s="49" t="str">
        <f>IF('Plant Data'!A197="","",'Plant Data'!A197)</f>
        <v/>
      </c>
    </row>
    <row r="194" spans="1:1" ht="15.75" customHeight="1" x14ac:dyDescent="0.2">
      <c r="A194" s="49" t="str">
        <f>IF('Plant Data'!A198="","",'Plant Data'!A198)</f>
        <v/>
      </c>
    </row>
    <row r="195" spans="1:1" ht="15.75" customHeight="1" x14ac:dyDescent="0.2">
      <c r="A195" s="49" t="str">
        <f>IF('Plant Data'!A199="","",'Plant Data'!A199)</f>
        <v/>
      </c>
    </row>
    <row r="196" spans="1:1" ht="15.75" customHeight="1" x14ac:dyDescent="0.2">
      <c r="A196" s="49" t="str">
        <f>IF('Plant Data'!A200="","",'Plant Data'!A200)</f>
        <v/>
      </c>
    </row>
    <row r="197" spans="1:1" ht="15.75" customHeight="1" x14ac:dyDescent="0.2">
      <c r="A197" s="49" t="str">
        <f>IF('Plant Data'!A201="","",'Plant Data'!A201)</f>
        <v/>
      </c>
    </row>
    <row r="198" spans="1:1" ht="15.75" customHeight="1" x14ac:dyDescent="0.2">
      <c r="A198" s="49" t="str">
        <f>IF('Plant Data'!A202="","",'Plant Data'!A202)</f>
        <v/>
      </c>
    </row>
    <row r="199" spans="1:1" ht="15.75" customHeight="1" x14ac:dyDescent="0.2">
      <c r="A199" s="49" t="str">
        <f>IF('Plant Data'!A203="","",'Plant Data'!A203)</f>
        <v/>
      </c>
    </row>
    <row r="200" spans="1:1" ht="15.75" customHeight="1" x14ac:dyDescent="0.2">
      <c r="A200" s="49" t="str">
        <f>IF('Plant Data'!A204="","",'Plant Data'!A204)</f>
        <v/>
      </c>
    </row>
    <row r="201" spans="1:1" ht="15.75" customHeight="1" x14ac:dyDescent="0.2">
      <c r="A201" s="49" t="str">
        <f>IF('Plant Data'!A205="","",'Plant Data'!A205)</f>
        <v/>
      </c>
    </row>
    <row r="202" spans="1:1" ht="15.75" customHeight="1" x14ac:dyDescent="0.2">
      <c r="A202" s="49" t="str">
        <f>IF('Plant Data'!A206="","",'Plant Data'!A206)</f>
        <v/>
      </c>
    </row>
    <row r="203" spans="1:1" ht="15.75" customHeight="1" x14ac:dyDescent="0.2">
      <c r="A203" s="49" t="str">
        <f>IF('Plant Data'!A207="","",'Plant Data'!A207)</f>
        <v/>
      </c>
    </row>
    <row r="204" spans="1:1" ht="15.75" customHeight="1" x14ac:dyDescent="0.2">
      <c r="A204" s="49" t="str">
        <f>IF('Plant Data'!A208="","",'Plant Data'!A208)</f>
        <v/>
      </c>
    </row>
    <row r="205" spans="1:1" ht="15.75" customHeight="1" x14ac:dyDescent="0.2">
      <c r="A205" s="49" t="str">
        <f>IF('Plant Data'!A209="","",'Plant Data'!A209)</f>
        <v/>
      </c>
    </row>
    <row r="206" spans="1:1" ht="15.75" customHeight="1" x14ac:dyDescent="0.2">
      <c r="A206" s="49" t="str">
        <f>IF('Plant Data'!A210="","",'Plant Data'!A210)</f>
        <v/>
      </c>
    </row>
    <row r="207" spans="1:1" ht="15.75" customHeight="1" x14ac:dyDescent="0.2">
      <c r="A207" s="49" t="str">
        <f>IF('Plant Data'!A211="","",'Plant Data'!A211)</f>
        <v/>
      </c>
    </row>
    <row r="208" spans="1:1" ht="15.75" customHeight="1" x14ac:dyDescent="0.2">
      <c r="A208" s="49" t="str">
        <f>IF('Plant Data'!A212="","",'Plant Data'!A212)</f>
        <v/>
      </c>
    </row>
    <row r="209" spans="1:1" ht="15.75" customHeight="1" x14ac:dyDescent="0.2">
      <c r="A209" s="49" t="str">
        <f>IF('Plant Data'!A213="","",'Plant Data'!A213)</f>
        <v/>
      </c>
    </row>
    <row r="210" spans="1:1" ht="15.75" customHeight="1" x14ac:dyDescent="0.2">
      <c r="A210" s="49" t="str">
        <f>IF('Plant Data'!A214="","",'Plant Data'!A214)</f>
        <v/>
      </c>
    </row>
    <row r="211" spans="1:1" ht="15.75" customHeight="1" x14ac:dyDescent="0.2">
      <c r="A211" s="49" t="str">
        <f>IF('Plant Data'!A215="","",'Plant Data'!A215)</f>
        <v/>
      </c>
    </row>
    <row r="212" spans="1:1" ht="15.75" customHeight="1" x14ac:dyDescent="0.2">
      <c r="A212" s="49" t="str">
        <f>IF('Plant Data'!A216="","",'Plant Data'!A216)</f>
        <v/>
      </c>
    </row>
    <row r="213" spans="1:1" ht="15.75" customHeight="1" x14ac:dyDescent="0.2">
      <c r="A213" s="49" t="str">
        <f>IF('Plant Data'!A217="","",'Plant Data'!A217)</f>
        <v/>
      </c>
    </row>
    <row r="214" spans="1:1" ht="15.75" customHeight="1" x14ac:dyDescent="0.2">
      <c r="A214" s="49" t="str">
        <f>IF('Plant Data'!A218="","",'Plant Data'!A218)</f>
        <v/>
      </c>
    </row>
    <row r="215" spans="1:1" ht="15.75" customHeight="1" x14ac:dyDescent="0.2">
      <c r="A215" s="49" t="str">
        <f>IF('Plant Data'!A219="","",'Plant Data'!A219)</f>
        <v/>
      </c>
    </row>
    <row r="216" spans="1:1" ht="15.75" customHeight="1" x14ac:dyDescent="0.2">
      <c r="A216" s="49" t="str">
        <f>IF('Plant Data'!A220="","",'Plant Data'!A220)</f>
        <v/>
      </c>
    </row>
    <row r="217" spans="1:1" ht="15.75" customHeight="1" x14ac:dyDescent="0.2">
      <c r="A217" s="49" t="str">
        <f>IF('Plant Data'!A221="","",'Plant Data'!A221)</f>
        <v/>
      </c>
    </row>
    <row r="218" spans="1:1" ht="15.75" customHeight="1" x14ac:dyDescent="0.2">
      <c r="A218" s="49" t="str">
        <f>IF('Plant Data'!A222="","",'Plant Data'!A222)</f>
        <v/>
      </c>
    </row>
    <row r="219" spans="1:1" ht="15.75" customHeight="1" x14ac:dyDescent="0.2">
      <c r="A219" s="49" t="str">
        <f>IF('Plant Data'!A223="","",'Plant Data'!A223)</f>
        <v/>
      </c>
    </row>
    <row r="220" spans="1:1" ht="15.75" customHeight="1" x14ac:dyDescent="0.2">
      <c r="A220" s="49" t="str">
        <f>IF('Plant Data'!A224="","",'Plant Data'!A224)</f>
        <v/>
      </c>
    </row>
    <row r="221" spans="1:1" ht="15.75" customHeight="1" x14ac:dyDescent="0.2">
      <c r="A221" s="49" t="str">
        <f>IF('Plant Data'!A225="","",'Plant Data'!A225)</f>
        <v/>
      </c>
    </row>
    <row r="222" spans="1:1" ht="15.75" customHeight="1" x14ac:dyDescent="0.2">
      <c r="A222" s="49" t="str">
        <f>IF('Plant Data'!A226="","",'Plant Data'!A226)</f>
        <v/>
      </c>
    </row>
    <row r="223" spans="1:1" ht="15.75" customHeight="1" x14ac:dyDescent="0.2">
      <c r="A223" s="49" t="str">
        <f>IF('Plant Data'!A227="","",'Plant Data'!A227)</f>
        <v/>
      </c>
    </row>
    <row r="224" spans="1:1" ht="15.75" customHeight="1" x14ac:dyDescent="0.2">
      <c r="A224" s="49" t="str">
        <f>IF('Plant Data'!A228="","",'Plant Data'!A228)</f>
        <v/>
      </c>
    </row>
    <row r="225" spans="1:1" ht="15.75" customHeight="1" x14ac:dyDescent="0.2">
      <c r="A225" s="49" t="str">
        <f>IF('Plant Data'!A229="","",'Plant Data'!A229)</f>
        <v/>
      </c>
    </row>
    <row r="226" spans="1:1" ht="15.75" customHeight="1" x14ac:dyDescent="0.2">
      <c r="A226" s="49" t="str">
        <f>IF('Plant Data'!A230="","",'Plant Data'!A230)</f>
        <v/>
      </c>
    </row>
    <row r="227" spans="1:1" ht="15.75" customHeight="1" x14ac:dyDescent="0.2">
      <c r="A227" s="49" t="str">
        <f>IF('Plant Data'!A231="","",'Plant Data'!A231)</f>
        <v/>
      </c>
    </row>
    <row r="228" spans="1:1" ht="15.75" customHeight="1" x14ac:dyDescent="0.2">
      <c r="A228" s="49" t="str">
        <f>IF('Plant Data'!A232="","",'Plant Data'!A232)</f>
        <v/>
      </c>
    </row>
    <row r="229" spans="1:1" ht="15.75" customHeight="1" x14ac:dyDescent="0.2">
      <c r="A229" s="49" t="str">
        <f>IF('Plant Data'!A233="","",'Plant Data'!A233)</f>
        <v/>
      </c>
    </row>
    <row r="230" spans="1:1" ht="15.75" customHeight="1" x14ac:dyDescent="0.2">
      <c r="A230" s="49" t="str">
        <f>IF('Plant Data'!A234="","",'Plant Data'!A234)</f>
        <v/>
      </c>
    </row>
    <row r="231" spans="1:1" ht="15.75" customHeight="1" x14ac:dyDescent="0.2">
      <c r="A231" s="49" t="str">
        <f>IF('Plant Data'!A235="","",'Plant Data'!A235)</f>
        <v/>
      </c>
    </row>
    <row r="232" spans="1:1" ht="15.75" customHeight="1" x14ac:dyDescent="0.2">
      <c r="A232" s="49" t="str">
        <f>IF('Plant Data'!A236="","",'Plant Data'!A236)</f>
        <v/>
      </c>
    </row>
    <row r="233" spans="1:1" ht="15.75" customHeight="1" x14ac:dyDescent="0.2">
      <c r="A233" s="49" t="str">
        <f>IF('Plant Data'!A237="","",'Plant Data'!A237)</f>
        <v/>
      </c>
    </row>
    <row r="234" spans="1:1" ht="15.75" customHeight="1" x14ac:dyDescent="0.2">
      <c r="A234" s="49" t="str">
        <f>IF('Plant Data'!A238="","",'Plant Data'!A238)</f>
        <v/>
      </c>
    </row>
    <row r="235" spans="1:1" ht="15.75" customHeight="1" x14ac:dyDescent="0.2">
      <c r="A235" s="49" t="str">
        <f>IF('Plant Data'!A239="","",'Plant Data'!A239)</f>
        <v/>
      </c>
    </row>
    <row r="236" spans="1:1" ht="15.75" customHeight="1" x14ac:dyDescent="0.2">
      <c r="A236" s="49" t="str">
        <f>IF('Plant Data'!A240="","",'Plant Data'!A240)</f>
        <v/>
      </c>
    </row>
    <row r="237" spans="1:1" ht="15.75" customHeight="1" x14ac:dyDescent="0.2">
      <c r="A237" s="49" t="str">
        <f>IF('Plant Data'!A241="","",'Plant Data'!A241)</f>
        <v/>
      </c>
    </row>
    <row r="238" spans="1:1" ht="15.75" customHeight="1" x14ac:dyDescent="0.2">
      <c r="A238" s="49" t="str">
        <f>IF('Plant Data'!A242="","",'Plant Data'!A242)</f>
        <v/>
      </c>
    </row>
    <row r="239" spans="1:1" ht="15.75" customHeight="1" x14ac:dyDescent="0.2">
      <c r="A239" s="49" t="str">
        <f>IF('Plant Data'!A243="","",'Plant Data'!A243)</f>
        <v/>
      </c>
    </row>
    <row r="240" spans="1:1" ht="15.75" customHeight="1" x14ac:dyDescent="0.2">
      <c r="A240" s="49" t="str">
        <f>IF('Plant Data'!A244="","",'Plant Data'!A244)</f>
        <v/>
      </c>
    </row>
    <row r="241" spans="1:1" ht="15.75" customHeight="1" x14ac:dyDescent="0.2">
      <c r="A241" s="49" t="str">
        <f>IF('Plant Data'!A245="","",'Plant Data'!A245)</f>
        <v/>
      </c>
    </row>
    <row r="242" spans="1:1" ht="15.75" customHeight="1" x14ac:dyDescent="0.2">
      <c r="A242" s="49" t="str">
        <f>IF('Plant Data'!A246="","",'Plant Data'!A246)</f>
        <v/>
      </c>
    </row>
    <row r="243" spans="1:1" ht="15.75" customHeight="1" x14ac:dyDescent="0.2">
      <c r="A243" s="49" t="str">
        <f>IF('Plant Data'!A247="","",'Plant Data'!A247)</f>
        <v/>
      </c>
    </row>
    <row r="244" spans="1:1" ht="15.75" customHeight="1" x14ac:dyDescent="0.2">
      <c r="A244" s="49" t="str">
        <f>IF('Plant Data'!A248="","",'Plant Data'!A248)</f>
        <v/>
      </c>
    </row>
    <row r="245" spans="1:1" ht="15.75" customHeight="1" x14ac:dyDescent="0.2">
      <c r="A245" s="49" t="str">
        <f>IF('Plant Data'!A249="","",'Plant Data'!A249)</f>
        <v/>
      </c>
    </row>
    <row r="246" spans="1:1" ht="15.75" customHeight="1" x14ac:dyDescent="0.2">
      <c r="A246" s="49" t="str">
        <f>IF('Plant Data'!A250="","",'Plant Data'!A250)</f>
        <v/>
      </c>
    </row>
    <row r="247" spans="1:1" ht="15.75" customHeight="1" x14ac:dyDescent="0.2">
      <c r="A247" s="49" t="str">
        <f>IF('Plant Data'!A251="","",'Plant Data'!A251)</f>
        <v/>
      </c>
    </row>
    <row r="248" spans="1:1" ht="15.75" customHeight="1" x14ac:dyDescent="0.2">
      <c r="A248" s="49" t="str">
        <f>IF('Plant Data'!A252="","",'Plant Data'!A252)</f>
        <v/>
      </c>
    </row>
    <row r="249" spans="1:1" ht="15.75" customHeight="1" x14ac:dyDescent="0.2">
      <c r="A249" s="49" t="str">
        <f>IF('Plant Data'!A253="","",'Plant Data'!A253)</f>
        <v/>
      </c>
    </row>
    <row r="250" spans="1:1" ht="15.75" customHeight="1" x14ac:dyDescent="0.2">
      <c r="A250" s="49" t="str">
        <f>IF('Plant Data'!A254="","",'Plant Data'!A254)</f>
        <v/>
      </c>
    </row>
    <row r="251" spans="1:1" ht="15.75" customHeight="1" x14ac:dyDescent="0.2">
      <c r="A251" s="49" t="str">
        <f>IF('Plant Data'!A255="","",'Plant Data'!A255)</f>
        <v/>
      </c>
    </row>
    <row r="252" spans="1:1" ht="15.75" customHeight="1" x14ac:dyDescent="0.2">
      <c r="A252" s="49" t="str">
        <f>IF('Plant Data'!A256="","",'Plant Data'!A256)</f>
        <v/>
      </c>
    </row>
    <row r="253" spans="1:1" ht="15.75" customHeight="1" x14ac:dyDescent="0.2">
      <c r="A253" s="49" t="str">
        <f>IF('Plant Data'!A257="","",'Plant Data'!A257)</f>
        <v/>
      </c>
    </row>
    <row r="254" spans="1:1" ht="15.75" customHeight="1" x14ac:dyDescent="0.2">
      <c r="A254" s="49" t="str">
        <f>IF('Plant Data'!A258="","",'Plant Data'!A258)</f>
        <v/>
      </c>
    </row>
    <row r="255" spans="1:1" ht="15.75" customHeight="1" x14ac:dyDescent="0.2">
      <c r="A255" s="49" t="str">
        <f>IF('Plant Data'!A259="","",'Plant Data'!A259)</f>
        <v/>
      </c>
    </row>
    <row r="256" spans="1:1" ht="15.75" customHeight="1" x14ac:dyDescent="0.2">
      <c r="A256" s="49" t="str">
        <f>IF('Plant Data'!A260="","",'Plant Data'!A260)</f>
        <v/>
      </c>
    </row>
    <row r="257" spans="1:1" ht="15.75" customHeight="1" x14ac:dyDescent="0.2">
      <c r="A257" s="49" t="str">
        <f>IF('Plant Data'!A261="","",'Plant Data'!A261)</f>
        <v/>
      </c>
    </row>
    <row r="258" spans="1:1" ht="15.75" customHeight="1" x14ac:dyDescent="0.2">
      <c r="A258" s="49" t="str">
        <f>IF('Plant Data'!A262="","",'Plant Data'!A262)</f>
        <v/>
      </c>
    </row>
    <row r="259" spans="1:1" ht="15.75" customHeight="1" x14ac:dyDescent="0.2">
      <c r="A259" s="49" t="str">
        <f>IF('Plant Data'!A263="","",'Plant Data'!A263)</f>
        <v/>
      </c>
    </row>
    <row r="260" spans="1:1" ht="15.75" customHeight="1" x14ac:dyDescent="0.2">
      <c r="A260" s="49" t="str">
        <f>IF('Plant Data'!A264="","",'Plant Data'!A264)</f>
        <v/>
      </c>
    </row>
    <row r="261" spans="1:1" ht="15.75" customHeight="1" x14ac:dyDescent="0.2">
      <c r="A261" s="49" t="str">
        <f>IF('Plant Data'!A265="","",'Plant Data'!A265)</f>
        <v/>
      </c>
    </row>
    <row r="262" spans="1:1" ht="15.75" customHeight="1" x14ac:dyDescent="0.2">
      <c r="A262" s="49" t="str">
        <f>IF('Plant Data'!A266="","",'Plant Data'!A266)</f>
        <v/>
      </c>
    </row>
    <row r="263" spans="1:1" ht="15.75" customHeight="1" x14ac:dyDescent="0.2">
      <c r="A263" s="49" t="str">
        <f>IF('Plant Data'!A267="","",'Plant Data'!A267)</f>
        <v/>
      </c>
    </row>
    <row r="264" spans="1:1" ht="15.75" customHeight="1" x14ac:dyDescent="0.2">
      <c r="A264" s="49" t="str">
        <f>IF('Plant Data'!A268="","",'Plant Data'!A268)</f>
        <v/>
      </c>
    </row>
    <row r="265" spans="1:1" ht="15.75" customHeight="1" x14ac:dyDescent="0.2">
      <c r="A265" s="49" t="str">
        <f>IF('Plant Data'!A269="","",'Plant Data'!A269)</f>
        <v/>
      </c>
    </row>
    <row r="266" spans="1:1" ht="15.75" customHeight="1" x14ac:dyDescent="0.2">
      <c r="A266" s="49" t="str">
        <f>IF('Plant Data'!A270="","",'Plant Data'!A270)</f>
        <v/>
      </c>
    </row>
    <row r="267" spans="1:1" ht="15.75" customHeight="1" x14ac:dyDescent="0.2">
      <c r="A267" s="49" t="str">
        <f>IF('Plant Data'!A271="","",'Plant Data'!A271)</f>
        <v/>
      </c>
    </row>
    <row r="268" spans="1:1" ht="15.75" customHeight="1" x14ac:dyDescent="0.2">
      <c r="A268" s="49" t="str">
        <f>IF('Plant Data'!A272="","",'Plant Data'!A272)</f>
        <v/>
      </c>
    </row>
    <row r="269" spans="1:1" ht="15.75" customHeight="1" x14ac:dyDescent="0.2">
      <c r="A269" s="49" t="str">
        <f>IF('Plant Data'!A273="","",'Plant Data'!A273)</f>
        <v/>
      </c>
    </row>
    <row r="270" spans="1:1" ht="15.75" customHeight="1" x14ac:dyDescent="0.2">
      <c r="A270" s="49" t="str">
        <f>IF('Plant Data'!A274="","",'Plant Data'!A274)</f>
        <v/>
      </c>
    </row>
    <row r="271" spans="1:1" ht="15.75" customHeight="1" x14ac:dyDescent="0.2">
      <c r="A271" s="49" t="str">
        <f>IF('Plant Data'!A275="","",'Plant Data'!A275)</f>
        <v/>
      </c>
    </row>
    <row r="272" spans="1:1" ht="15.75" customHeight="1" x14ac:dyDescent="0.2">
      <c r="A272" s="49" t="str">
        <f>IF('Plant Data'!A276="","",'Plant Data'!A276)</f>
        <v/>
      </c>
    </row>
    <row r="273" spans="1:1" ht="15.75" customHeight="1" x14ac:dyDescent="0.2">
      <c r="A273" s="49" t="str">
        <f>IF('Plant Data'!A277="","",'Plant Data'!A277)</f>
        <v/>
      </c>
    </row>
    <row r="274" spans="1:1" ht="15.75" customHeight="1" x14ac:dyDescent="0.2">
      <c r="A274" s="49" t="str">
        <f>IF('Plant Data'!A278="","",'Plant Data'!A278)</f>
        <v/>
      </c>
    </row>
    <row r="275" spans="1:1" ht="15.75" customHeight="1" x14ac:dyDescent="0.2">
      <c r="A275" s="49" t="str">
        <f>IF('Plant Data'!A279="","",'Plant Data'!A279)</f>
        <v/>
      </c>
    </row>
    <row r="276" spans="1:1" ht="15.75" customHeight="1" x14ac:dyDescent="0.2">
      <c r="A276" s="49" t="str">
        <f>IF('Plant Data'!A280="","",'Plant Data'!A280)</f>
        <v/>
      </c>
    </row>
    <row r="277" spans="1:1" ht="15.75" customHeight="1" x14ac:dyDescent="0.2">
      <c r="A277" s="49" t="str">
        <f>IF('Plant Data'!A281="","",'Plant Data'!A281)</f>
        <v/>
      </c>
    </row>
    <row r="278" spans="1:1" ht="15.75" customHeight="1" x14ac:dyDescent="0.2">
      <c r="A278" s="49" t="str">
        <f>IF('Plant Data'!A282="","",'Plant Data'!A282)</f>
        <v/>
      </c>
    </row>
    <row r="279" spans="1:1" ht="15.75" customHeight="1" x14ac:dyDescent="0.2">
      <c r="A279" s="49" t="str">
        <f>IF('Plant Data'!A283="","",'Plant Data'!A283)</f>
        <v/>
      </c>
    </row>
    <row r="280" spans="1:1" ht="15.75" customHeight="1" x14ac:dyDescent="0.2">
      <c r="A280" s="49" t="str">
        <f>IF('Plant Data'!A284="","",'Plant Data'!A284)</f>
        <v/>
      </c>
    </row>
    <row r="281" spans="1:1" ht="15.75" customHeight="1" x14ac:dyDescent="0.2">
      <c r="A281" s="49" t="str">
        <f>IF('Plant Data'!A285="","",'Plant Data'!A285)</f>
        <v/>
      </c>
    </row>
    <row r="282" spans="1:1" ht="15.75" customHeight="1" x14ac:dyDescent="0.2">
      <c r="A282" s="49" t="str">
        <f>IF('Plant Data'!A286="","",'Plant Data'!A286)</f>
        <v/>
      </c>
    </row>
    <row r="283" spans="1:1" ht="15.75" customHeight="1" x14ac:dyDescent="0.2">
      <c r="A283" s="49" t="str">
        <f>IF('Plant Data'!A287="","",'Plant Data'!A287)</f>
        <v/>
      </c>
    </row>
    <row r="284" spans="1:1" ht="15.75" customHeight="1" x14ac:dyDescent="0.2">
      <c r="A284" s="49" t="str">
        <f>IF('Plant Data'!A288="","",'Plant Data'!A288)</f>
        <v/>
      </c>
    </row>
    <row r="285" spans="1:1" ht="15.75" customHeight="1" x14ac:dyDescent="0.2">
      <c r="A285" s="49" t="str">
        <f>IF('Plant Data'!A289="","",'Plant Data'!A289)</f>
        <v/>
      </c>
    </row>
    <row r="286" spans="1:1" ht="15.75" customHeight="1" x14ac:dyDescent="0.2">
      <c r="A286" s="49" t="str">
        <f>IF('Plant Data'!A290="","",'Plant Data'!A290)</f>
        <v/>
      </c>
    </row>
    <row r="287" spans="1:1" ht="15.75" customHeight="1" x14ac:dyDescent="0.2">
      <c r="A287" s="49" t="str">
        <f>IF('Plant Data'!A291="","",'Plant Data'!A291)</f>
        <v/>
      </c>
    </row>
    <row r="288" spans="1:1" ht="15.75" customHeight="1" x14ac:dyDescent="0.2">
      <c r="A288" s="49" t="str">
        <f>IF('Plant Data'!A292="","",'Plant Data'!A292)</f>
        <v/>
      </c>
    </row>
    <row r="289" spans="1:21" ht="15.75" customHeight="1" x14ac:dyDescent="0.2">
      <c r="A289" s="49" t="str">
        <f>IF('Plant Data'!A293="","",'Plant Data'!A293)</f>
        <v/>
      </c>
    </row>
    <row r="290" spans="1:21" ht="15.75" customHeight="1" x14ac:dyDescent="0.2">
      <c r="A290" s="49" t="str">
        <f>IF('Plant Data'!A294="","",'Plant Data'!A294)</f>
        <v/>
      </c>
    </row>
    <row r="291" spans="1:21" ht="15.75" customHeight="1" x14ac:dyDescent="0.2">
      <c r="A291" s="49" t="str">
        <f>IF('Plant Data'!A295="","",'Plant Data'!A295)</f>
        <v/>
      </c>
    </row>
    <row r="292" spans="1:21" ht="15.75" customHeight="1" x14ac:dyDescent="0.2">
      <c r="A292" s="49" t="str">
        <f>IF('Plant Data'!A296="","",'Plant Data'!A296)</f>
        <v/>
      </c>
    </row>
    <row r="293" spans="1:21" ht="15.75" customHeight="1" x14ac:dyDescent="0.2">
      <c r="A293" s="49" t="str">
        <f>IF('Plant Data'!A297="","",'Plant Data'!A297)</f>
        <v/>
      </c>
    </row>
    <row r="294" spans="1:21" ht="15.75" customHeight="1" x14ac:dyDescent="0.2">
      <c r="A294" s="49" t="str">
        <f>IF('Plant Data'!A298="","",'Plant Data'!A298)</f>
        <v/>
      </c>
    </row>
    <row r="295" spans="1:21" ht="15.75" customHeight="1" x14ac:dyDescent="0.2">
      <c r="A295" s="49" t="str">
        <f>IF('Plant Data'!A299="","",'Plant Data'!A299)</f>
        <v/>
      </c>
    </row>
    <row r="296" spans="1:21" ht="15.75" customHeight="1" x14ac:dyDescent="0.2">
      <c r="A296" s="66" t="str">
        <f>IF('Plant Data'!A300="","",'Plant Data'!A300)</f>
        <v/>
      </c>
      <c r="C296" s="66"/>
      <c r="D296" s="66"/>
      <c r="E296" s="66"/>
      <c r="F296" s="66"/>
      <c r="G296" s="66"/>
      <c r="H296" s="66"/>
      <c r="I296" s="66"/>
      <c r="J296" s="66"/>
      <c r="K296" s="66"/>
      <c r="L296" s="66"/>
      <c r="M296" s="66"/>
      <c r="N296" s="66"/>
      <c r="O296" s="66"/>
      <c r="P296" s="66"/>
      <c r="Q296" s="66"/>
      <c r="R296" s="66"/>
      <c r="S296" s="66"/>
      <c r="T296" s="66"/>
      <c r="U296" s="66"/>
    </row>
    <row r="297" spans="1:21" ht="15.75" customHeight="1" x14ac:dyDescent="0.2"/>
    <row r="298" spans="1:21" ht="15.75" customHeight="1" x14ac:dyDescent="0.2"/>
    <row r="299" spans="1:21" ht="15.75" customHeight="1" x14ac:dyDescent="0.2"/>
    <row r="300" spans="1:21" ht="15.75" customHeight="1" x14ac:dyDescent="0.2"/>
    <row r="301" spans="1:21" ht="15.75" customHeight="1" x14ac:dyDescent="0.2"/>
    <row r="302" spans="1:21" ht="15.75" customHeight="1" x14ac:dyDescent="0.2"/>
    <row r="303" spans="1:21" ht="15.75" customHeight="1" x14ac:dyDescent="0.2"/>
    <row r="304" spans="1:2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autoFilter ref="A3:AU3" xr:uid="{00000000-0009-0000-0000-000003000000}"/>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A995"/>
  <sheetViews>
    <sheetView showGridLines="0" workbookViewId="0"/>
  </sheetViews>
  <sheetFormatPr baseColWidth="10" defaultColWidth="14.5" defaultRowHeight="15" customHeight="1" x14ac:dyDescent="0.2"/>
  <cols>
    <col min="1" max="1" width="25.5" customWidth="1"/>
    <col min="2" max="2" width="12.5" customWidth="1"/>
    <col min="3" max="3" width="11.1640625" customWidth="1"/>
    <col min="4" max="24" width="8.6640625" customWidth="1"/>
    <col min="25" max="53" width="8.83203125" customWidth="1"/>
  </cols>
  <sheetData>
    <row r="1" spans="1:53" ht="47" x14ac:dyDescent="0.55000000000000004">
      <c r="A1" s="44" t="s">
        <v>0</v>
      </c>
      <c r="B1" s="44"/>
      <c r="C1" s="44"/>
      <c r="D1" s="45"/>
      <c r="E1" s="45"/>
      <c r="F1" s="45"/>
      <c r="G1" s="45"/>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spans="1:53" ht="26" x14ac:dyDescent="0.3">
      <c r="A2" s="46" t="s">
        <v>187</v>
      </c>
      <c r="B2" s="46"/>
      <c r="C2" s="46"/>
      <c r="D2" s="45"/>
      <c r="E2" s="45"/>
      <c r="F2" s="45"/>
      <c r="G2" s="45"/>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spans="1:53" ht="16" x14ac:dyDescent="0.2">
      <c r="A3" s="47" t="s">
        <v>87</v>
      </c>
      <c r="B3" s="47" t="s">
        <v>88</v>
      </c>
      <c r="C3" s="47" t="s">
        <v>188</v>
      </c>
      <c r="D3" s="64">
        <f>Definitions!I33</f>
        <v>45658</v>
      </c>
      <c r="E3" s="64">
        <f>IFERROR(IF(EDATE(D3,12)&lt;(Definitions!$I$34+1),EDATE(D3,12),""),"")</f>
        <v>46023</v>
      </c>
      <c r="F3" s="64">
        <f>IFERROR(IF(EDATE(E3,12)&lt;(Definitions!$I$34+1),EDATE(E3,12),""),"")</f>
        <v>46388</v>
      </c>
      <c r="G3" s="64">
        <f>IFERROR(IF(EDATE(F3,12)&lt;(Definitions!$I$34+1),EDATE(F3,12),""),"")</f>
        <v>46753</v>
      </c>
      <c r="H3" s="64">
        <f>IFERROR(IF(EDATE(G3,12)&lt;(Definitions!$I$34+1),EDATE(G3,12),""),"")</f>
        <v>47119</v>
      </c>
      <c r="I3" s="64">
        <f>IFERROR(IF(EDATE(H3,12)&lt;(Definitions!$I$34+1),EDATE(H3,12),""),"")</f>
        <v>47484</v>
      </c>
      <c r="J3" s="64">
        <f>IFERROR(IF(EDATE(I3,12)&lt;(Definitions!$I$34+1),EDATE(I3,12),""),"")</f>
        <v>47849</v>
      </c>
      <c r="K3" s="64">
        <f>IFERROR(IF(EDATE(J3,12)&lt;(Definitions!$I$34+1),EDATE(J3,12),""),"")</f>
        <v>48214</v>
      </c>
      <c r="L3" s="64">
        <f>IFERROR(IF(EDATE(K3,12)&lt;(Definitions!$I$34+1),EDATE(K3,12),""),"")</f>
        <v>48580</v>
      </c>
      <c r="M3" s="64">
        <f>IFERROR(IF(EDATE(L3,12)&lt;(Definitions!$I$34+1),EDATE(L3,12),""),"")</f>
        <v>48945</v>
      </c>
      <c r="N3" s="64">
        <f>IFERROR(IF(EDATE(M3,12)&lt;(Definitions!$I$34+1),EDATE(M3,12),""),"")</f>
        <v>49310</v>
      </c>
      <c r="O3" s="64">
        <f>IFERROR(IF(EDATE(N3,12)&lt;(Definitions!$I$34+1),EDATE(N3,12),""),"")</f>
        <v>49675</v>
      </c>
      <c r="P3" s="64">
        <f>IFERROR(IF(EDATE(O3,12)&lt;(Definitions!$I$34+1),EDATE(O3,12),""),"")</f>
        <v>50041</v>
      </c>
      <c r="Q3" s="64">
        <f>IFERROR(IF(EDATE(P3,12)&lt;(Definitions!$I$34+1),EDATE(P3,12),""),"")</f>
        <v>50406</v>
      </c>
      <c r="R3" s="64">
        <f>IFERROR(IF(EDATE(Q3,12)&lt;(Definitions!$I$34+1),EDATE(Q3,12),""),"")</f>
        <v>50771</v>
      </c>
      <c r="S3" s="64">
        <f>IFERROR(IF(EDATE(R3,12)&lt;(Definitions!$I$34+1),EDATE(R3,12),""),"")</f>
        <v>51136</v>
      </c>
      <c r="T3" s="64">
        <f>IFERROR(IF(EDATE(S3,12)&lt;(Definitions!$I$34+1),EDATE(S3,12),""),"")</f>
        <v>51502</v>
      </c>
      <c r="U3" s="64">
        <f>IFERROR(IF(EDATE(T3,12)&lt;(Definitions!$I$34+1),EDATE(T3,12),""),"")</f>
        <v>51867</v>
      </c>
      <c r="V3" s="64">
        <f>IFERROR(IF(EDATE(U3,12)&lt;(Definitions!$I$34+1),EDATE(U3,12),""),"")</f>
        <v>52232</v>
      </c>
      <c r="W3" s="64">
        <f>IFERROR(IF(EDATE(V3,12)&lt;(Definitions!$I$34+1),EDATE(V3,12),""),"")</f>
        <v>52597</v>
      </c>
      <c r="X3" s="64">
        <f>IFERROR(IF(EDATE(W3,12)&lt;(Definitions!$I$34+1),EDATE(W3,12),""),"")</f>
        <v>52963</v>
      </c>
      <c r="Y3" s="64">
        <f>IFERROR(IF(EDATE(X3,12)&lt;(Definitions!$I$34+1),EDATE(X3,12),""),"")</f>
        <v>53328</v>
      </c>
      <c r="Z3" s="64">
        <f>IFERROR(IF(EDATE(Y3,12)&lt;(Definitions!$I$34+1),EDATE(Y3,12),""),"")</f>
        <v>53693</v>
      </c>
      <c r="AA3" s="64">
        <f>IFERROR(IF(EDATE(Z3,12)&lt;(Definitions!$I$34+1),EDATE(Z3,12),""),"")</f>
        <v>54058</v>
      </c>
      <c r="AB3" s="64">
        <f>IFERROR(IF(EDATE(AA3,12)&lt;(Definitions!$I$34+1),EDATE(AA3,12),""),"")</f>
        <v>54424</v>
      </c>
      <c r="AC3" s="64">
        <f>IFERROR(IF(EDATE(AB3,12)&lt;(Definitions!$I$34+1),EDATE(AB3,12),""),"")</f>
        <v>54789</v>
      </c>
      <c r="AD3" s="64">
        <f>IFERROR(IF(EDATE(AC3,12)&lt;(Definitions!$I$34+1),EDATE(AC3,12),""),"")</f>
        <v>55154</v>
      </c>
      <c r="AE3" s="64">
        <f>IFERROR(IF(EDATE(AD3,12)&lt;(Definitions!$I$34+1),EDATE(AD3,12),""),"")</f>
        <v>55519</v>
      </c>
      <c r="AF3" s="64">
        <f>IFERROR(IF(EDATE(AE3,12)&lt;(Definitions!$I$34+1),EDATE(AE3,12),""),"")</f>
        <v>55885</v>
      </c>
      <c r="AG3" s="64">
        <f>IFERROR(IF(EDATE(AF3,12)&lt;(Definitions!$I$34+1),EDATE(AF3,12),""),"")</f>
        <v>56250</v>
      </c>
      <c r="AH3" s="64">
        <f>IFERROR(IF(EDATE(AG3,12)&lt;(Definitions!$I$34+1),EDATE(AG3,12),""),"")</f>
        <v>56615</v>
      </c>
      <c r="AI3" s="64">
        <f>IFERROR(IF(EDATE(AH3,12)&lt;(Definitions!$I$34+1),EDATE(AH3,12),""),"")</f>
        <v>56980</v>
      </c>
      <c r="AJ3" s="64">
        <f>IFERROR(IF(EDATE(AI3,12)&lt;(Definitions!$I$34+1),EDATE(AI3,12),""),"")</f>
        <v>57346</v>
      </c>
      <c r="AK3" s="64">
        <f>IFERROR(IF(EDATE(AJ3,12)&lt;(Definitions!$I$34+1),EDATE(AJ3,12),""),"")</f>
        <v>57711</v>
      </c>
      <c r="AL3" s="64">
        <f>IFERROR(IF(EDATE(AK3,12)&lt;(Definitions!$I$34+1),EDATE(AK3,12),""),"")</f>
        <v>58076</v>
      </c>
      <c r="AM3" s="64">
        <f>IFERROR(IF(EDATE(AL3,12)&lt;(Definitions!$I$34+1),EDATE(AL3,12),""),"")</f>
        <v>58441</v>
      </c>
      <c r="AN3" s="64">
        <f>IFERROR(IF(EDATE(AM3,12)&lt;(Definitions!$I$34+1),EDATE(AM3,12),""),"")</f>
        <v>58807</v>
      </c>
      <c r="AO3" s="64">
        <f>IFERROR(IF(EDATE(AN3,12)&lt;(Definitions!$I$34+1),EDATE(AN3,12),""),"")</f>
        <v>59172</v>
      </c>
      <c r="AP3" s="64">
        <f>IFERROR(IF(EDATE(AO3,12)&lt;(Definitions!$I$34+1),EDATE(AO3,12),""),"")</f>
        <v>59537</v>
      </c>
      <c r="AQ3" s="64">
        <f>IFERROR(IF(EDATE(AP3,12)&lt;(Definitions!$I$34+1),EDATE(AP3,12),""),"")</f>
        <v>59902</v>
      </c>
      <c r="AR3" s="64">
        <f>IFERROR(IF(EDATE(AQ3,12)&lt;(Definitions!$I$34+1),EDATE(AQ3,12),""),"")</f>
        <v>60268</v>
      </c>
      <c r="AS3" s="64">
        <f>IFERROR(IF(EDATE(AR3,12)&lt;(Definitions!$I$34+1),EDATE(AR3,12),""),"")</f>
        <v>60633</v>
      </c>
      <c r="AT3" s="64">
        <f>IFERROR(IF(EDATE(AS3,12)&lt;(Definitions!$I$34+1),EDATE(AS3,12),""),"")</f>
        <v>60998</v>
      </c>
      <c r="AU3" s="64">
        <f>IFERROR(IF(EDATE(AT3,12)&lt;(Definitions!$I$34+1),EDATE(AT3,12),""),"")</f>
        <v>61363</v>
      </c>
      <c r="AV3" s="64">
        <f>IFERROR(IF(EDATE(AU3,12)&lt;(Definitions!$I$34+1),EDATE(AU3,12),""),"")</f>
        <v>61729</v>
      </c>
      <c r="AW3" s="64">
        <f>IFERROR(IF(EDATE(AV3,12)&lt;(Definitions!$I$34+1),EDATE(AV3,12),""),"")</f>
        <v>62094</v>
      </c>
      <c r="AX3" s="64" t="str">
        <f>IFERROR(IF(EDATE(AW3,12)&lt;(Definitions!$I$34+1),EDATE(AW3,12),""),"")</f>
        <v/>
      </c>
      <c r="AY3" s="64" t="str">
        <f>IFERROR(IF(EDATE(AX3,12)&lt;(Definitions!$I$34+1),EDATE(AX3,12),""),"")</f>
        <v/>
      </c>
      <c r="AZ3" s="64" t="str">
        <f>IFERROR(IF(EDATE(AY3,12)&lt;(Definitions!$I$34+1),EDATE(AY3,12),""),"")</f>
        <v/>
      </c>
      <c r="BA3" s="64" t="str">
        <f>IFERROR(IF(EDATE(AZ3,12)&lt;(Definitions!$I$34+1),EDATE(AZ3,12),""),"")</f>
        <v/>
      </c>
    </row>
    <row r="4" spans="1:53" x14ac:dyDescent="0.2">
      <c r="A4" s="49" t="s">
        <v>189</v>
      </c>
      <c r="B4" s="52" t="s">
        <v>33</v>
      </c>
      <c r="C4" s="49" t="str">
        <f>IF(Definitions!E25="","",Definitions!E25)</f>
        <v>BAU</v>
      </c>
      <c r="D4" s="67">
        <v>57.042230500000002</v>
      </c>
      <c r="E4" s="67">
        <v>55.0695932</v>
      </c>
      <c r="F4" s="67">
        <v>55.0695932</v>
      </c>
      <c r="G4" s="67">
        <v>55.0695932</v>
      </c>
      <c r="H4" s="67">
        <v>55.0695932</v>
      </c>
      <c r="I4" s="67">
        <v>55.0695932</v>
      </c>
      <c r="J4" s="67">
        <v>53.012406599999998</v>
      </c>
      <c r="K4" s="67">
        <v>53.012406599999998</v>
      </c>
      <c r="L4" s="67">
        <v>51.073696699999999</v>
      </c>
      <c r="M4" s="67">
        <v>47.589404199999997</v>
      </c>
      <c r="N4" s="67">
        <v>44.837513199999997</v>
      </c>
      <c r="O4" s="67">
        <v>44.837513199999997</v>
      </c>
      <c r="P4" s="67">
        <v>44.837513199999997</v>
      </c>
      <c r="Q4" s="67">
        <v>44.837513199999997</v>
      </c>
      <c r="R4" s="67">
        <v>44.837513199999997</v>
      </c>
      <c r="S4" s="67">
        <v>44.837513199999997</v>
      </c>
      <c r="T4" s="67">
        <v>43.932781900000002</v>
      </c>
      <c r="U4" s="67">
        <v>43.932781900000002</v>
      </c>
      <c r="V4" s="67">
        <v>43.932781900000002</v>
      </c>
      <c r="W4" s="67">
        <v>43.932781900000002</v>
      </c>
      <c r="X4" s="67">
        <v>43.932781900000002</v>
      </c>
      <c r="Y4" s="67">
        <v>43.932781900000002</v>
      </c>
      <c r="Z4" s="67">
        <v>43.932781900000002</v>
      </c>
      <c r="AA4" s="67">
        <v>43.932781900000002</v>
      </c>
      <c r="AB4" s="67">
        <v>43.932781900000002</v>
      </c>
      <c r="AC4" s="67">
        <v>43.932781900000002</v>
      </c>
      <c r="AD4" s="67">
        <v>43.932781900000002</v>
      </c>
      <c r="AE4" s="67">
        <v>43.932781900000002</v>
      </c>
      <c r="AF4" s="67">
        <v>43.932781900000002</v>
      </c>
      <c r="AG4" s="67">
        <v>43.932781900000002</v>
      </c>
      <c r="AH4" s="67">
        <v>43.932781900000002</v>
      </c>
      <c r="AI4" s="67">
        <v>43.932781900000002</v>
      </c>
      <c r="AJ4" s="67">
        <v>43.932781900000002</v>
      </c>
      <c r="AK4" s="67">
        <v>43.932781900000002</v>
      </c>
      <c r="AL4" s="67">
        <v>43.932781900000002</v>
      </c>
      <c r="AM4" s="67">
        <v>43.932781900000002</v>
      </c>
      <c r="AN4" s="67">
        <v>43.932781900000002</v>
      </c>
      <c r="AO4" s="67">
        <v>43.932781900000002</v>
      </c>
      <c r="AP4" s="67">
        <v>43.932781900000002</v>
      </c>
      <c r="AQ4" s="67">
        <v>43.932781900000002</v>
      </c>
      <c r="AR4" s="67">
        <v>43.932781900000002</v>
      </c>
      <c r="AS4" s="67">
        <v>43.932781900000002</v>
      </c>
      <c r="AT4" s="67">
        <v>43.932781900000002</v>
      </c>
      <c r="AU4" s="67">
        <v>43.932781900000002</v>
      </c>
      <c r="AV4" s="67">
        <v>43.932781900000002</v>
      </c>
      <c r="AW4" s="67">
        <v>43.932781900000002</v>
      </c>
      <c r="AX4" s="49">
        <v>0</v>
      </c>
      <c r="AY4" s="49">
        <v>0</v>
      </c>
      <c r="AZ4" s="49">
        <v>0</v>
      </c>
      <c r="BA4" s="49">
        <v>0</v>
      </c>
    </row>
    <row r="5" spans="1:53" x14ac:dyDescent="0.2">
      <c r="A5" s="49" t="s">
        <v>189</v>
      </c>
      <c r="B5" s="52" t="s">
        <v>33</v>
      </c>
      <c r="C5" s="49" t="str">
        <f>IF(Definitions!E26="","",Definitions!E26)</f>
        <v>AD_20</v>
      </c>
      <c r="D5" s="67">
        <v>57.042230500000002</v>
      </c>
      <c r="E5" s="67">
        <v>54.457708799999999</v>
      </c>
      <c r="F5" s="67">
        <v>53.845824399999998</v>
      </c>
      <c r="G5" s="67">
        <v>53.233940099999998</v>
      </c>
      <c r="H5" s="67">
        <v>52.622055699999997</v>
      </c>
      <c r="I5" s="67">
        <v>52.010171300000003</v>
      </c>
      <c r="J5" s="67">
        <v>49.4782461</v>
      </c>
      <c r="K5" s="67">
        <v>48.889219400000002</v>
      </c>
      <c r="L5" s="67">
        <v>46.533812500000003</v>
      </c>
      <c r="M5" s="67">
        <v>42.830463700000003</v>
      </c>
      <c r="N5" s="67">
        <v>39.905386700000001</v>
      </c>
      <c r="O5" s="67">
        <v>39.457011600000001</v>
      </c>
      <c r="P5" s="67">
        <v>39.008636500000001</v>
      </c>
      <c r="Q5" s="67">
        <v>38.560261300000001</v>
      </c>
      <c r="R5" s="67">
        <v>38.111886200000001</v>
      </c>
      <c r="S5" s="67">
        <v>37.663511100000001</v>
      </c>
      <c r="T5" s="67">
        <v>36.464208999999997</v>
      </c>
      <c r="U5" s="67">
        <v>36.024881100000002</v>
      </c>
      <c r="V5" s="67">
        <v>35.585553300000001</v>
      </c>
      <c r="W5" s="67">
        <v>35.1462255</v>
      </c>
      <c r="X5" s="67">
        <v>35.1462255</v>
      </c>
      <c r="Y5" s="67">
        <v>35.1462255</v>
      </c>
      <c r="Z5" s="67">
        <v>35.1462255</v>
      </c>
      <c r="AA5" s="67">
        <v>35.1462255</v>
      </c>
      <c r="AB5" s="67">
        <v>35.1462255</v>
      </c>
      <c r="AC5" s="67">
        <v>35.1462255</v>
      </c>
      <c r="AD5" s="67">
        <v>35.1462255</v>
      </c>
      <c r="AE5" s="67">
        <v>35.1462255</v>
      </c>
      <c r="AF5" s="67">
        <v>35.1462255</v>
      </c>
      <c r="AG5" s="67">
        <v>35.1462255</v>
      </c>
      <c r="AH5" s="67">
        <v>35.1462255</v>
      </c>
      <c r="AI5" s="67">
        <v>35.1462255</v>
      </c>
      <c r="AJ5" s="67">
        <v>35.1462255</v>
      </c>
      <c r="AK5" s="67">
        <v>35.1462255</v>
      </c>
      <c r="AL5" s="67">
        <v>35.1462255</v>
      </c>
      <c r="AM5" s="67">
        <v>35.1462255</v>
      </c>
      <c r="AN5" s="67">
        <v>35.1462255</v>
      </c>
      <c r="AO5" s="67">
        <v>35.1462255</v>
      </c>
      <c r="AP5" s="67">
        <v>35.1462255</v>
      </c>
      <c r="AQ5" s="67">
        <v>35.1462255</v>
      </c>
      <c r="AR5" s="67">
        <v>35.1462255</v>
      </c>
      <c r="AS5" s="67">
        <v>35.1462255</v>
      </c>
      <c r="AT5" s="67">
        <v>35.1462255</v>
      </c>
      <c r="AU5" s="67">
        <v>35.1462255</v>
      </c>
      <c r="AV5" s="67">
        <v>35.1462255</v>
      </c>
      <c r="AW5" s="67">
        <v>35.1462255</v>
      </c>
      <c r="AX5" s="49">
        <v>0</v>
      </c>
      <c r="AY5" s="49">
        <v>0</v>
      </c>
      <c r="AZ5" s="49">
        <v>0</v>
      </c>
      <c r="BA5" s="49">
        <v>0</v>
      </c>
    </row>
    <row r="6" spans="1:53" x14ac:dyDescent="0.2">
      <c r="A6" s="49" t="s">
        <v>189</v>
      </c>
      <c r="B6" s="52" t="s">
        <v>33</v>
      </c>
      <c r="C6" s="49" t="str">
        <f>IF(Definitions!E27="","",Definitions!E27)</f>
        <v>AD_40</v>
      </c>
      <c r="D6" s="67">
        <v>57.042230500000002</v>
      </c>
      <c r="E6" s="67">
        <v>53.845824399999998</v>
      </c>
      <c r="F6" s="67">
        <v>52.622055699999997</v>
      </c>
      <c r="G6" s="67">
        <v>51.398287000000003</v>
      </c>
      <c r="H6" s="67">
        <v>50.174518200000001</v>
      </c>
      <c r="I6" s="67">
        <v>48.950749500000001</v>
      </c>
      <c r="J6" s="67">
        <v>45.944085700000002</v>
      </c>
      <c r="K6" s="67">
        <v>44.766032199999998</v>
      </c>
      <c r="L6" s="67">
        <v>41.993928400000001</v>
      </c>
      <c r="M6" s="67">
        <v>38.071523300000003</v>
      </c>
      <c r="N6" s="67">
        <v>34.9732603</v>
      </c>
      <c r="O6" s="67">
        <v>34.076509999999999</v>
      </c>
      <c r="P6" s="67">
        <v>33.179759699999998</v>
      </c>
      <c r="Q6" s="67">
        <v>32.283009499999999</v>
      </c>
      <c r="R6" s="67">
        <v>31.386259200000001</v>
      </c>
      <c r="S6" s="67">
        <v>30.489509000000002</v>
      </c>
      <c r="T6" s="67">
        <v>28.995636000000001</v>
      </c>
      <c r="U6" s="67">
        <v>28.116980399999999</v>
      </c>
      <c r="V6" s="67">
        <v>27.238324800000001</v>
      </c>
      <c r="W6" s="67">
        <v>26.359669100000001</v>
      </c>
      <c r="X6" s="67">
        <v>26.359669100000001</v>
      </c>
      <c r="Y6" s="67">
        <v>26.359669100000001</v>
      </c>
      <c r="Z6" s="67">
        <v>26.359669100000001</v>
      </c>
      <c r="AA6" s="67">
        <v>26.359669100000001</v>
      </c>
      <c r="AB6" s="67">
        <v>26.359669100000001</v>
      </c>
      <c r="AC6" s="67">
        <v>26.359669100000001</v>
      </c>
      <c r="AD6" s="67">
        <v>26.359669100000001</v>
      </c>
      <c r="AE6" s="67">
        <v>26.359669100000001</v>
      </c>
      <c r="AF6" s="67">
        <v>26.359669100000001</v>
      </c>
      <c r="AG6" s="67">
        <v>26.359669100000001</v>
      </c>
      <c r="AH6" s="67">
        <v>26.359669100000001</v>
      </c>
      <c r="AI6" s="67">
        <v>26.359669100000001</v>
      </c>
      <c r="AJ6" s="67">
        <v>26.359669100000001</v>
      </c>
      <c r="AK6" s="67">
        <v>26.359669100000001</v>
      </c>
      <c r="AL6" s="67">
        <v>26.359669100000001</v>
      </c>
      <c r="AM6" s="67">
        <v>26.359669100000001</v>
      </c>
      <c r="AN6" s="67">
        <v>26.359669100000001</v>
      </c>
      <c r="AO6" s="67">
        <v>26.359669100000001</v>
      </c>
      <c r="AP6" s="67">
        <v>26.359669100000001</v>
      </c>
      <c r="AQ6" s="67">
        <v>26.359669100000001</v>
      </c>
      <c r="AR6" s="67">
        <v>26.359669100000001</v>
      </c>
      <c r="AS6" s="67">
        <v>26.359669100000001</v>
      </c>
      <c r="AT6" s="67">
        <v>26.359669100000001</v>
      </c>
      <c r="AU6" s="67">
        <v>26.359669100000001</v>
      </c>
      <c r="AV6" s="67">
        <v>26.359669100000001</v>
      </c>
      <c r="AW6" s="67">
        <v>26.359669100000001</v>
      </c>
    </row>
    <row r="7" spans="1:53" x14ac:dyDescent="0.2">
      <c r="A7" s="49" t="s">
        <v>189</v>
      </c>
      <c r="B7" s="52" t="s">
        <v>33</v>
      </c>
      <c r="C7" s="49" t="str">
        <f>IF(Definitions!E28="","",Definitions!E28)</f>
        <v>AD_60</v>
      </c>
      <c r="D7" s="67">
        <v>57.042230500000002</v>
      </c>
      <c r="E7" s="67">
        <v>53.233940099999998</v>
      </c>
      <c r="F7" s="67">
        <v>51.398287000000003</v>
      </c>
      <c r="G7" s="67">
        <v>49.562633900000002</v>
      </c>
      <c r="H7" s="67">
        <v>47.7269808</v>
      </c>
      <c r="I7" s="67">
        <v>45.891327599999997</v>
      </c>
      <c r="J7" s="67">
        <v>42.409925299999998</v>
      </c>
      <c r="K7" s="67">
        <v>40.642845000000001</v>
      </c>
      <c r="L7" s="67">
        <v>37.454044199999998</v>
      </c>
      <c r="M7" s="67">
        <v>33.312582900000002</v>
      </c>
      <c r="N7" s="67">
        <v>30.041133800000001</v>
      </c>
      <c r="O7" s="67">
        <v>28.6960084</v>
      </c>
      <c r="P7" s="67">
        <v>27.350883</v>
      </c>
      <c r="Q7" s="67">
        <v>26.005757599999999</v>
      </c>
      <c r="R7" s="67">
        <v>24.660632199999998</v>
      </c>
      <c r="S7" s="67">
        <v>23.315506800000001</v>
      </c>
      <c r="T7" s="67">
        <v>21.527063099999999</v>
      </c>
      <c r="U7" s="67">
        <v>20.2090797</v>
      </c>
      <c r="V7" s="67">
        <v>18.8910962</v>
      </c>
      <c r="W7" s="67">
        <v>17.573112800000001</v>
      </c>
      <c r="X7" s="67">
        <v>17.573112800000001</v>
      </c>
      <c r="Y7" s="67">
        <v>17.573112800000001</v>
      </c>
      <c r="Z7" s="67">
        <v>17.573112800000001</v>
      </c>
      <c r="AA7" s="67">
        <v>17.573112800000001</v>
      </c>
      <c r="AB7" s="67">
        <v>17.573112800000001</v>
      </c>
      <c r="AC7" s="67">
        <v>17.573112800000001</v>
      </c>
      <c r="AD7" s="67">
        <v>17.573112800000001</v>
      </c>
      <c r="AE7" s="67">
        <v>17.573112800000001</v>
      </c>
      <c r="AF7" s="67">
        <v>17.573112800000001</v>
      </c>
      <c r="AG7" s="67">
        <v>17.573112800000001</v>
      </c>
      <c r="AH7" s="67">
        <v>17.573112800000001</v>
      </c>
      <c r="AI7" s="67">
        <v>17.573112800000001</v>
      </c>
      <c r="AJ7" s="67">
        <v>17.573112800000001</v>
      </c>
      <c r="AK7" s="67">
        <v>17.573112800000001</v>
      </c>
      <c r="AL7" s="67">
        <v>17.573112800000001</v>
      </c>
      <c r="AM7" s="67">
        <v>17.573112800000001</v>
      </c>
      <c r="AN7" s="67">
        <v>17.573112800000001</v>
      </c>
      <c r="AO7" s="67">
        <v>17.573112800000001</v>
      </c>
      <c r="AP7" s="67">
        <v>17.573112800000001</v>
      </c>
      <c r="AQ7" s="67">
        <v>17.573112800000001</v>
      </c>
      <c r="AR7" s="67">
        <v>17.573112800000001</v>
      </c>
      <c r="AS7" s="67">
        <v>17.573112800000001</v>
      </c>
      <c r="AT7" s="67">
        <v>17.573112800000001</v>
      </c>
      <c r="AU7" s="67">
        <v>17.573112800000001</v>
      </c>
      <c r="AV7" s="67">
        <v>17.573112800000001</v>
      </c>
      <c r="AW7" s="67">
        <v>17.573112800000001</v>
      </c>
    </row>
    <row r="8" spans="1:53" x14ac:dyDescent="0.2">
      <c r="A8" s="49" t="s">
        <v>189</v>
      </c>
      <c r="B8" s="52" t="s">
        <v>33</v>
      </c>
      <c r="C8" s="49" t="str">
        <f>IF(Definitions!E29="","",Definitions!E29)</f>
        <v>AD_80</v>
      </c>
      <c r="D8" s="67">
        <v>57.042230500000002</v>
      </c>
      <c r="E8" s="67">
        <v>52.622055699999997</v>
      </c>
      <c r="F8" s="67">
        <v>50.174518200000001</v>
      </c>
      <c r="G8" s="67">
        <v>47.7269808</v>
      </c>
      <c r="H8" s="67">
        <v>45.279443299999997</v>
      </c>
      <c r="I8" s="67">
        <v>42.831905800000001</v>
      </c>
      <c r="J8" s="67">
        <v>38.875764799999999</v>
      </c>
      <c r="K8" s="67">
        <v>36.519657899999999</v>
      </c>
      <c r="L8" s="67">
        <v>32.914160099999997</v>
      </c>
      <c r="M8" s="67">
        <v>28.553642499999999</v>
      </c>
      <c r="N8" s="67">
        <v>25.109007399999999</v>
      </c>
      <c r="O8" s="67">
        <v>23.315506800000001</v>
      </c>
      <c r="P8" s="67">
        <v>21.522006300000001</v>
      </c>
      <c r="Q8" s="67">
        <v>19.728505800000001</v>
      </c>
      <c r="R8" s="67">
        <v>17.9350053</v>
      </c>
      <c r="S8" s="67">
        <v>16.141504699999999</v>
      </c>
      <c r="T8" s="67">
        <v>14.0584902</v>
      </c>
      <c r="U8" s="67">
        <v>12.3011789</v>
      </c>
      <c r="V8" s="67">
        <v>10.5438677</v>
      </c>
      <c r="W8" s="67">
        <v>8.7865563800000004</v>
      </c>
      <c r="X8" s="67">
        <v>8.7865563800000004</v>
      </c>
      <c r="Y8" s="67">
        <v>8.7865563800000004</v>
      </c>
      <c r="Z8" s="67">
        <v>8.7865563800000004</v>
      </c>
      <c r="AA8" s="67">
        <v>8.7865563800000004</v>
      </c>
      <c r="AB8" s="67">
        <v>8.7865563800000004</v>
      </c>
      <c r="AC8" s="67">
        <v>8.7865563800000004</v>
      </c>
      <c r="AD8" s="67">
        <v>8.7865563800000004</v>
      </c>
      <c r="AE8" s="67">
        <v>8.7865563800000004</v>
      </c>
      <c r="AF8" s="67">
        <v>8.7865563800000004</v>
      </c>
      <c r="AG8" s="67">
        <v>8.7865563800000004</v>
      </c>
      <c r="AH8" s="67">
        <v>8.7865563800000004</v>
      </c>
      <c r="AI8" s="67">
        <v>8.7865563800000004</v>
      </c>
      <c r="AJ8" s="67">
        <v>8.7865563800000004</v>
      </c>
      <c r="AK8" s="67">
        <v>8.7865563800000004</v>
      </c>
      <c r="AL8" s="67">
        <v>8.7865563800000004</v>
      </c>
      <c r="AM8" s="67">
        <v>8.7865563800000004</v>
      </c>
      <c r="AN8" s="67">
        <v>8.7865563800000004</v>
      </c>
      <c r="AO8" s="67">
        <v>8.7865563800000004</v>
      </c>
      <c r="AP8" s="67">
        <v>8.7865563800000004</v>
      </c>
      <c r="AQ8" s="67">
        <v>8.7865563800000004</v>
      </c>
      <c r="AR8" s="67">
        <v>8.7865563800000004</v>
      </c>
      <c r="AS8" s="67">
        <v>8.7865563800000004</v>
      </c>
      <c r="AT8" s="67">
        <v>8.7865563800000004</v>
      </c>
      <c r="AU8" s="67">
        <v>8.7865563800000004</v>
      </c>
      <c r="AV8" s="67">
        <v>8.7865563800000004</v>
      </c>
      <c r="AW8" s="67">
        <v>8.7865563800000004</v>
      </c>
    </row>
    <row r="9" spans="1:53" x14ac:dyDescent="0.2">
      <c r="A9" s="49" t="s">
        <v>189</v>
      </c>
      <c r="B9" s="49" t="s">
        <v>39</v>
      </c>
      <c r="C9" s="49" t="s">
        <v>31</v>
      </c>
      <c r="D9" s="68">
        <v>57.042230500000002</v>
      </c>
      <c r="E9" s="68">
        <v>55.0695932</v>
      </c>
      <c r="F9" s="68">
        <v>55.0695932</v>
      </c>
      <c r="G9" s="68">
        <v>55.0695932</v>
      </c>
      <c r="H9" s="68">
        <v>55.0695932</v>
      </c>
      <c r="I9" s="68">
        <v>55.0695932</v>
      </c>
      <c r="J9" s="68">
        <v>53.012406599999998</v>
      </c>
      <c r="K9" s="68">
        <v>53.012406599999998</v>
      </c>
      <c r="L9" s="68">
        <v>51.073696699999999</v>
      </c>
      <c r="M9" s="68">
        <v>47.589404199999997</v>
      </c>
      <c r="N9" s="68">
        <v>44.837513199999997</v>
      </c>
      <c r="O9" s="68">
        <v>44.837513199999997</v>
      </c>
      <c r="P9" s="68">
        <v>44.837513199999997</v>
      </c>
      <c r="Q9" s="68">
        <v>44.837513199999997</v>
      </c>
      <c r="R9" s="68">
        <v>44.837513199999997</v>
      </c>
      <c r="S9" s="68">
        <v>44.837513199999997</v>
      </c>
      <c r="T9" s="68">
        <v>43.932781900000002</v>
      </c>
      <c r="U9" s="68">
        <v>43.932781900000002</v>
      </c>
      <c r="V9" s="68">
        <v>43.932781900000002</v>
      </c>
      <c r="W9" s="68">
        <v>43.932781900000002</v>
      </c>
      <c r="X9" s="68">
        <v>43.932781900000002</v>
      </c>
      <c r="Y9" s="68">
        <v>43.932781900000002</v>
      </c>
      <c r="Z9" s="68">
        <v>43.932781900000002</v>
      </c>
      <c r="AA9" s="68">
        <v>43.932781900000002</v>
      </c>
      <c r="AB9" s="68">
        <v>43.932781900000002</v>
      </c>
      <c r="AC9" s="68">
        <v>43.932781900000002</v>
      </c>
      <c r="AD9" s="68">
        <v>43.932781900000002</v>
      </c>
      <c r="AE9" s="68">
        <v>43.932781900000002</v>
      </c>
      <c r="AF9" s="68">
        <v>43.932781900000002</v>
      </c>
      <c r="AG9" s="68">
        <v>43.932781900000002</v>
      </c>
      <c r="AH9" s="68">
        <v>43.932781900000002</v>
      </c>
      <c r="AI9" s="68">
        <v>43.932781900000002</v>
      </c>
      <c r="AJ9" s="68">
        <v>43.932781900000002</v>
      </c>
      <c r="AK9" s="68">
        <v>43.932781900000002</v>
      </c>
      <c r="AL9" s="68">
        <v>43.932781900000002</v>
      </c>
      <c r="AM9" s="68">
        <v>43.932781900000002</v>
      </c>
      <c r="AN9" s="68">
        <v>43.932781900000002</v>
      </c>
      <c r="AO9" s="68">
        <v>43.932781900000002</v>
      </c>
      <c r="AP9" s="68">
        <v>43.932781900000002</v>
      </c>
      <c r="AQ9" s="68">
        <v>43.932781900000002</v>
      </c>
      <c r="AR9" s="68">
        <v>43.932781900000002</v>
      </c>
      <c r="AS9" s="68">
        <v>43.932781900000002</v>
      </c>
      <c r="AT9" s="68">
        <v>43.932781900000002</v>
      </c>
      <c r="AU9" s="68">
        <v>43.932781900000002</v>
      </c>
      <c r="AV9" s="68">
        <v>43.932781900000002</v>
      </c>
      <c r="AW9" s="68">
        <v>43.932781900000002</v>
      </c>
    </row>
    <row r="10" spans="1:53" x14ac:dyDescent="0.2">
      <c r="A10" s="49" t="s">
        <v>189</v>
      </c>
      <c r="B10" s="49" t="s">
        <v>39</v>
      </c>
      <c r="C10" s="49" t="s">
        <v>37</v>
      </c>
      <c r="D10" s="68">
        <v>57.042230500000002</v>
      </c>
      <c r="E10" s="68">
        <v>54.457708799999999</v>
      </c>
      <c r="F10" s="68">
        <v>53.845824399999998</v>
      </c>
      <c r="G10" s="68">
        <v>53.233940099999998</v>
      </c>
      <c r="H10" s="68">
        <v>52.622055699999997</v>
      </c>
      <c r="I10" s="68">
        <v>52.010171300000003</v>
      </c>
      <c r="J10" s="68">
        <v>49.4782461</v>
      </c>
      <c r="K10" s="68">
        <v>48.889219400000002</v>
      </c>
      <c r="L10" s="68">
        <v>46.533812500000003</v>
      </c>
      <c r="M10" s="68">
        <v>42.830463700000003</v>
      </c>
      <c r="N10" s="68">
        <v>39.905386700000001</v>
      </c>
      <c r="O10" s="68">
        <v>39.457011600000001</v>
      </c>
      <c r="P10" s="68">
        <v>39.008636500000001</v>
      </c>
      <c r="Q10" s="68">
        <v>38.560261300000001</v>
      </c>
      <c r="R10" s="68">
        <v>38.111886200000001</v>
      </c>
      <c r="S10" s="68">
        <v>37.663511100000001</v>
      </c>
      <c r="T10" s="68">
        <v>36.464208999999997</v>
      </c>
      <c r="U10" s="68">
        <v>36.024881100000002</v>
      </c>
      <c r="V10" s="68">
        <v>35.585553300000001</v>
      </c>
      <c r="W10" s="68">
        <v>35.1462255</v>
      </c>
      <c r="X10" s="68">
        <v>35.1462255</v>
      </c>
      <c r="Y10" s="68">
        <v>35.1462255</v>
      </c>
      <c r="Z10" s="68">
        <v>35.1462255</v>
      </c>
      <c r="AA10" s="68">
        <v>35.1462255</v>
      </c>
      <c r="AB10" s="68">
        <v>35.1462255</v>
      </c>
      <c r="AC10" s="68">
        <v>35.1462255</v>
      </c>
      <c r="AD10" s="68">
        <v>35.1462255</v>
      </c>
      <c r="AE10" s="68">
        <v>35.1462255</v>
      </c>
      <c r="AF10" s="68">
        <v>35.1462255</v>
      </c>
      <c r="AG10" s="68">
        <v>35.1462255</v>
      </c>
      <c r="AH10" s="68">
        <v>35.1462255</v>
      </c>
      <c r="AI10" s="68">
        <v>35.1462255</v>
      </c>
      <c r="AJ10" s="68">
        <v>35.1462255</v>
      </c>
      <c r="AK10" s="68">
        <v>35.1462255</v>
      </c>
      <c r="AL10" s="68">
        <v>35.1462255</v>
      </c>
      <c r="AM10" s="68">
        <v>35.1462255</v>
      </c>
      <c r="AN10" s="68">
        <v>35.1462255</v>
      </c>
      <c r="AO10" s="68">
        <v>35.1462255</v>
      </c>
      <c r="AP10" s="68">
        <v>35.1462255</v>
      </c>
      <c r="AQ10" s="68">
        <v>35.1462255</v>
      </c>
      <c r="AR10" s="68">
        <v>35.1462255</v>
      </c>
      <c r="AS10" s="68">
        <v>35.1462255</v>
      </c>
      <c r="AT10" s="68">
        <v>35.1462255</v>
      </c>
      <c r="AU10" s="68">
        <v>35.1462255</v>
      </c>
      <c r="AV10" s="68">
        <v>35.1462255</v>
      </c>
      <c r="AW10" s="68">
        <v>35.1462255</v>
      </c>
    </row>
    <row r="11" spans="1:53" x14ac:dyDescent="0.2">
      <c r="A11" s="49" t="s">
        <v>189</v>
      </c>
      <c r="B11" s="49" t="s">
        <v>39</v>
      </c>
      <c r="C11" s="49" t="s">
        <v>42</v>
      </c>
      <c r="D11" s="68">
        <v>57.042230500000002</v>
      </c>
      <c r="E11" s="68">
        <v>53.845824399999998</v>
      </c>
      <c r="F11" s="68">
        <v>52.622055699999997</v>
      </c>
      <c r="G11" s="68">
        <v>51.398287000000003</v>
      </c>
      <c r="H11" s="68">
        <v>50.174518200000001</v>
      </c>
      <c r="I11" s="68">
        <v>48.950749500000001</v>
      </c>
      <c r="J11" s="68">
        <v>45.944085700000002</v>
      </c>
      <c r="K11" s="68">
        <v>44.766032199999998</v>
      </c>
      <c r="L11" s="68">
        <v>41.993928400000001</v>
      </c>
      <c r="M11" s="68">
        <v>38.071523300000003</v>
      </c>
      <c r="N11" s="68">
        <v>34.9732603</v>
      </c>
      <c r="O11" s="68">
        <v>34.076509999999999</v>
      </c>
      <c r="P11" s="68">
        <v>33.179759699999998</v>
      </c>
      <c r="Q11" s="68">
        <v>32.283009499999999</v>
      </c>
      <c r="R11" s="68">
        <v>31.386259200000001</v>
      </c>
      <c r="S11" s="68">
        <v>30.489509000000002</v>
      </c>
      <c r="T11" s="68">
        <v>28.995636000000001</v>
      </c>
      <c r="U11" s="68">
        <v>28.116980399999999</v>
      </c>
      <c r="V11" s="68">
        <v>27.238324800000001</v>
      </c>
      <c r="W11" s="68">
        <v>26.359669100000001</v>
      </c>
      <c r="X11" s="68">
        <v>26.359669100000001</v>
      </c>
      <c r="Y11" s="68">
        <v>26.359669100000001</v>
      </c>
      <c r="Z11" s="68">
        <v>26.359669100000001</v>
      </c>
      <c r="AA11" s="68">
        <v>26.359669100000001</v>
      </c>
      <c r="AB11" s="68">
        <v>26.359669100000001</v>
      </c>
      <c r="AC11" s="68">
        <v>26.359669100000001</v>
      </c>
      <c r="AD11" s="68">
        <v>26.359669100000001</v>
      </c>
      <c r="AE11" s="68">
        <v>26.359669100000001</v>
      </c>
      <c r="AF11" s="68">
        <v>26.359669100000001</v>
      </c>
      <c r="AG11" s="68">
        <v>26.359669100000001</v>
      </c>
      <c r="AH11" s="68">
        <v>26.359669100000001</v>
      </c>
      <c r="AI11" s="68">
        <v>26.359669100000001</v>
      </c>
      <c r="AJ11" s="68">
        <v>26.359669100000001</v>
      </c>
      <c r="AK11" s="68">
        <v>26.359669100000001</v>
      </c>
      <c r="AL11" s="68">
        <v>26.359669100000001</v>
      </c>
      <c r="AM11" s="68">
        <v>26.359669100000001</v>
      </c>
      <c r="AN11" s="68">
        <v>26.359669100000001</v>
      </c>
      <c r="AO11" s="68">
        <v>26.359669100000001</v>
      </c>
      <c r="AP11" s="68">
        <v>26.359669100000001</v>
      </c>
      <c r="AQ11" s="68">
        <v>26.359669100000001</v>
      </c>
      <c r="AR11" s="68">
        <v>26.359669100000001</v>
      </c>
      <c r="AS11" s="68">
        <v>26.359669100000001</v>
      </c>
      <c r="AT11" s="68">
        <v>26.359669100000001</v>
      </c>
      <c r="AU11" s="68">
        <v>26.359669100000001</v>
      </c>
      <c r="AV11" s="68">
        <v>26.359669100000001</v>
      </c>
      <c r="AW11" s="68">
        <v>26.359669100000001</v>
      </c>
    </row>
    <row r="12" spans="1:53" x14ac:dyDescent="0.2">
      <c r="A12" s="49" t="s">
        <v>189</v>
      </c>
      <c r="B12" s="49" t="s">
        <v>39</v>
      </c>
      <c r="C12" s="49" t="s">
        <v>46</v>
      </c>
      <c r="D12" s="68">
        <v>57.042230500000002</v>
      </c>
      <c r="E12" s="68">
        <v>53.233940099999998</v>
      </c>
      <c r="F12" s="68">
        <v>51.398287000000003</v>
      </c>
      <c r="G12" s="68">
        <v>49.562633900000002</v>
      </c>
      <c r="H12" s="68">
        <v>47.7269808</v>
      </c>
      <c r="I12" s="68">
        <v>45.891327599999997</v>
      </c>
      <c r="J12" s="68">
        <v>42.409925299999998</v>
      </c>
      <c r="K12" s="68">
        <v>40.642845000000001</v>
      </c>
      <c r="L12" s="68">
        <v>37.454044199999998</v>
      </c>
      <c r="M12" s="68">
        <v>33.312582900000002</v>
      </c>
      <c r="N12" s="68">
        <v>30.041133800000001</v>
      </c>
      <c r="O12" s="68">
        <v>28.6960084</v>
      </c>
      <c r="P12" s="68">
        <v>27.350883</v>
      </c>
      <c r="Q12" s="68">
        <v>26.005757599999999</v>
      </c>
      <c r="R12" s="68">
        <v>24.660632199999998</v>
      </c>
      <c r="S12" s="68">
        <v>23.315506800000001</v>
      </c>
      <c r="T12" s="68">
        <v>21.527063099999999</v>
      </c>
      <c r="U12" s="68">
        <v>20.2090797</v>
      </c>
      <c r="V12" s="68">
        <v>18.8910962</v>
      </c>
      <c r="W12" s="68">
        <v>17.573112800000001</v>
      </c>
      <c r="X12" s="68">
        <v>17.573112800000001</v>
      </c>
      <c r="Y12" s="68">
        <v>17.573112800000001</v>
      </c>
      <c r="Z12" s="68">
        <v>17.573112800000001</v>
      </c>
      <c r="AA12" s="68">
        <v>17.573112800000001</v>
      </c>
      <c r="AB12" s="68">
        <v>17.573112800000001</v>
      </c>
      <c r="AC12" s="68">
        <v>17.573112800000001</v>
      </c>
      <c r="AD12" s="68">
        <v>17.573112800000001</v>
      </c>
      <c r="AE12" s="68">
        <v>17.573112800000001</v>
      </c>
      <c r="AF12" s="68">
        <v>17.573112800000001</v>
      </c>
      <c r="AG12" s="68">
        <v>17.573112800000001</v>
      </c>
      <c r="AH12" s="68">
        <v>17.573112800000001</v>
      </c>
      <c r="AI12" s="68">
        <v>17.573112800000001</v>
      </c>
      <c r="AJ12" s="68">
        <v>17.573112800000001</v>
      </c>
      <c r="AK12" s="68">
        <v>17.573112800000001</v>
      </c>
      <c r="AL12" s="68">
        <v>17.573112800000001</v>
      </c>
      <c r="AM12" s="68">
        <v>17.573112800000001</v>
      </c>
      <c r="AN12" s="68">
        <v>17.573112800000001</v>
      </c>
      <c r="AO12" s="68">
        <v>17.573112800000001</v>
      </c>
      <c r="AP12" s="68">
        <v>17.573112800000001</v>
      </c>
      <c r="AQ12" s="68">
        <v>17.573112800000001</v>
      </c>
      <c r="AR12" s="68">
        <v>17.573112800000001</v>
      </c>
      <c r="AS12" s="68">
        <v>17.573112800000001</v>
      </c>
      <c r="AT12" s="68">
        <v>17.573112800000001</v>
      </c>
      <c r="AU12" s="68">
        <v>17.573112800000001</v>
      </c>
      <c r="AV12" s="68">
        <v>17.573112800000001</v>
      </c>
      <c r="AW12" s="68">
        <v>17.573112800000001</v>
      </c>
    </row>
    <row r="13" spans="1:53" x14ac:dyDescent="0.2">
      <c r="A13" s="49" t="s">
        <v>189</v>
      </c>
      <c r="B13" s="49" t="s">
        <v>39</v>
      </c>
      <c r="C13" s="49" t="s">
        <v>50</v>
      </c>
      <c r="D13" s="68">
        <v>57.042230500000002</v>
      </c>
      <c r="E13" s="68">
        <v>52.622055699999997</v>
      </c>
      <c r="F13" s="68">
        <v>50.174518200000001</v>
      </c>
      <c r="G13" s="68">
        <v>47.7269808</v>
      </c>
      <c r="H13" s="68">
        <v>45.279443299999997</v>
      </c>
      <c r="I13" s="68">
        <v>42.831905800000001</v>
      </c>
      <c r="J13" s="68">
        <v>38.875764799999999</v>
      </c>
      <c r="K13" s="68">
        <v>36.519657899999999</v>
      </c>
      <c r="L13" s="68">
        <v>32.914160099999997</v>
      </c>
      <c r="M13" s="68">
        <v>28.553642499999999</v>
      </c>
      <c r="N13" s="68">
        <v>25.109007399999999</v>
      </c>
      <c r="O13" s="68">
        <v>23.315506800000001</v>
      </c>
      <c r="P13" s="68">
        <v>21.522006300000001</v>
      </c>
      <c r="Q13" s="68">
        <v>19.728505800000001</v>
      </c>
      <c r="R13" s="68">
        <v>17.9350053</v>
      </c>
      <c r="S13" s="68">
        <v>16.141504699999999</v>
      </c>
      <c r="T13" s="68">
        <v>14.0584902</v>
      </c>
      <c r="U13" s="68">
        <v>12.3011789</v>
      </c>
      <c r="V13" s="68">
        <v>10.5438677</v>
      </c>
      <c r="W13" s="68">
        <v>8.7865563800000004</v>
      </c>
      <c r="X13" s="68">
        <v>8.7865563800000004</v>
      </c>
      <c r="Y13" s="68">
        <v>8.7865563800000004</v>
      </c>
      <c r="Z13" s="68">
        <v>8.7865563800000004</v>
      </c>
      <c r="AA13" s="68">
        <v>8.7865563800000004</v>
      </c>
      <c r="AB13" s="68">
        <v>8.7865563800000004</v>
      </c>
      <c r="AC13" s="68">
        <v>8.7865563800000004</v>
      </c>
      <c r="AD13" s="68">
        <v>8.7865563800000004</v>
      </c>
      <c r="AE13" s="68">
        <v>8.7865563800000004</v>
      </c>
      <c r="AF13" s="68">
        <v>8.7865563800000004</v>
      </c>
      <c r="AG13" s="68">
        <v>8.7865563800000004</v>
      </c>
      <c r="AH13" s="68">
        <v>8.7865563800000004</v>
      </c>
      <c r="AI13" s="68">
        <v>8.7865563800000004</v>
      </c>
      <c r="AJ13" s="68">
        <v>8.7865563800000004</v>
      </c>
      <c r="AK13" s="68">
        <v>8.7865563800000004</v>
      </c>
      <c r="AL13" s="68">
        <v>8.7865563800000004</v>
      </c>
      <c r="AM13" s="68">
        <v>8.7865563800000004</v>
      </c>
      <c r="AN13" s="68">
        <v>8.7865563800000004</v>
      </c>
      <c r="AO13" s="68">
        <v>8.7865563800000004</v>
      </c>
      <c r="AP13" s="68">
        <v>8.7865563800000004</v>
      </c>
      <c r="AQ13" s="68">
        <v>8.7865563800000004</v>
      </c>
      <c r="AR13" s="68">
        <v>8.7865563800000004</v>
      </c>
      <c r="AS13" s="68">
        <v>8.7865563800000004</v>
      </c>
      <c r="AT13" s="68">
        <v>8.7865563800000004</v>
      </c>
      <c r="AU13" s="68">
        <v>8.7865563800000004</v>
      </c>
      <c r="AV13" s="68">
        <v>8.7865563800000004</v>
      </c>
      <c r="AW13" s="68">
        <v>8.7865563800000004</v>
      </c>
    </row>
    <row r="16" spans="1:53"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autoFilter ref="A3:AW3" xr:uid="{00000000-0009-0000-0000-000004000000}"/>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996"/>
  <sheetViews>
    <sheetView showGridLines="0" tabSelected="1" topLeftCell="A14" workbookViewId="0">
      <selection activeCell="A50" sqref="A50:XFD53"/>
    </sheetView>
  </sheetViews>
  <sheetFormatPr baseColWidth="10" defaultColWidth="14.5" defaultRowHeight="15" customHeight="1" x14ac:dyDescent="0.2"/>
  <cols>
    <col min="1" max="14" width="8.83203125" customWidth="1"/>
    <col min="15" max="15" width="18.5" customWidth="1"/>
    <col min="16" max="34" width="8.83203125" customWidth="1"/>
  </cols>
  <sheetData>
    <row r="1" spans="1:34" ht="47" x14ac:dyDescent="0.55000000000000004">
      <c r="A1" s="44" t="s">
        <v>0</v>
      </c>
      <c r="B1" s="45"/>
      <c r="C1" s="45"/>
      <c r="D1" s="45"/>
      <c r="E1" s="45"/>
      <c r="F1" s="2"/>
      <c r="G1" s="2"/>
      <c r="H1" s="2"/>
      <c r="I1" s="2"/>
      <c r="J1" s="2"/>
      <c r="K1" s="2"/>
      <c r="L1" s="2"/>
      <c r="M1" s="2"/>
      <c r="N1" s="2"/>
      <c r="O1" s="2"/>
      <c r="P1" s="2"/>
      <c r="Q1" s="2"/>
      <c r="R1" s="2"/>
      <c r="S1" s="2"/>
      <c r="T1" s="2"/>
      <c r="U1" s="2"/>
      <c r="V1" s="2"/>
      <c r="W1" s="2"/>
      <c r="X1" s="2"/>
      <c r="Y1" s="2"/>
      <c r="Z1" s="2"/>
      <c r="AA1" s="2"/>
      <c r="AB1" s="2"/>
      <c r="AC1" s="2"/>
      <c r="AD1" s="2"/>
      <c r="AE1" s="2"/>
      <c r="AF1" s="2"/>
      <c r="AG1" s="2"/>
      <c r="AH1" s="2"/>
    </row>
    <row r="2" spans="1:34" ht="26" x14ac:dyDescent="0.3">
      <c r="A2" s="46" t="s">
        <v>190</v>
      </c>
      <c r="B2" s="45"/>
      <c r="C2" s="45"/>
      <c r="D2" s="45"/>
      <c r="E2" s="45"/>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spans="1:34" x14ac:dyDescent="0.2">
      <c r="A3" s="69"/>
      <c r="B3" s="69" t="s">
        <v>191</v>
      </c>
      <c r="C3" s="69" t="s">
        <v>192</v>
      </c>
      <c r="D3" s="69" t="s">
        <v>193</v>
      </c>
      <c r="E3" s="69" t="s">
        <v>194</v>
      </c>
      <c r="F3" s="69" t="s">
        <v>195</v>
      </c>
      <c r="G3" s="69" t="s">
        <v>196</v>
      </c>
      <c r="H3" s="69" t="s">
        <v>197</v>
      </c>
      <c r="I3" s="69" t="s">
        <v>198</v>
      </c>
      <c r="J3" s="69" t="s">
        <v>199</v>
      </c>
      <c r="K3" s="69" t="s">
        <v>200</v>
      </c>
      <c r="M3" s="69"/>
      <c r="N3" s="69" t="s">
        <v>201</v>
      </c>
    </row>
    <row r="4" spans="1:34" x14ac:dyDescent="0.2">
      <c r="A4" s="69">
        <v>2025</v>
      </c>
      <c r="B4" s="70">
        <v>2.6877489013077298</v>
      </c>
      <c r="C4" s="70">
        <v>2.1857193822568202</v>
      </c>
      <c r="D4" s="70">
        <v>1.79697117260492</v>
      </c>
      <c r="E4" s="70">
        <v>1.4117966138214899</v>
      </c>
      <c r="F4" s="70">
        <v>1.1143359861655999</v>
      </c>
      <c r="G4" s="70">
        <v>0.90690841437426495</v>
      </c>
      <c r="H4" s="70">
        <v>0.76110006509476602</v>
      </c>
      <c r="I4" s="70">
        <v>0.63570875453159803</v>
      </c>
      <c r="J4" s="70">
        <v>0.49254047633778802</v>
      </c>
      <c r="K4" s="70">
        <v>1.4147338994588E-3</v>
      </c>
      <c r="M4" s="69" t="s">
        <v>191</v>
      </c>
      <c r="N4" s="71">
        <v>0.02</v>
      </c>
    </row>
    <row r="5" spans="1:34" x14ac:dyDescent="0.2">
      <c r="A5" s="69">
        <f t="shared" ref="A5:A49" si="0">A4+1</f>
        <v>2026</v>
      </c>
      <c r="B5" s="70">
        <v>2.6877489013077298</v>
      </c>
      <c r="C5" s="70">
        <v>2.1857193822568202</v>
      </c>
      <c r="D5" s="70">
        <v>1.79697117260492</v>
      </c>
      <c r="E5" s="70">
        <v>1.4117966138214899</v>
      </c>
      <c r="F5" s="70">
        <v>1.1143359861655999</v>
      </c>
      <c r="G5" s="70">
        <v>0.90690841437426495</v>
      </c>
      <c r="H5" s="70">
        <v>0.76110006509476602</v>
      </c>
      <c r="I5" s="70">
        <v>0.63570875453159803</v>
      </c>
      <c r="J5" s="70">
        <v>0.49254047633778802</v>
      </c>
      <c r="K5" s="70">
        <v>1.4147338994588E-3</v>
      </c>
      <c r="M5" s="69" t="s">
        <v>192</v>
      </c>
      <c r="N5" s="71">
        <v>0.03</v>
      </c>
    </row>
    <row r="6" spans="1:34" x14ac:dyDescent="0.2">
      <c r="A6" s="69">
        <f t="shared" si="0"/>
        <v>2027</v>
      </c>
      <c r="B6" s="70">
        <v>2.6877489013077298</v>
      </c>
      <c r="C6" s="70">
        <v>2.1857193822568202</v>
      </c>
      <c r="D6" s="70">
        <v>1.79697117260492</v>
      </c>
      <c r="E6" s="70">
        <v>1.4117966138214899</v>
      </c>
      <c r="F6" s="70">
        <v>1.1143359861655999</v>
      </c>
      <c r="G6" s="70">
        <v>0.90690841437426495</v>
      </c>
      <c r="H6" s="70">
        <v>0.76110006509476602</v>
      </c>
      <c r="I6" s="70">
        <v>0.63570875453159803</v>
      </c>
      <c r="J6" s="70">
        <v>0.49254047633778802</v>
      </c>
      <c r="K6" s="70">
        <v>1.4147338994588E-3</v>
      </c>
      <c r="M6" s="69" t="s">
        <v>193</v>
      </c>
      <c r="N6" s="71">
        <v>0.04</v>
      </c>
    </row>
    <row r="7" spans="1:34" x14ac:dyDescent="0.2">
      <c r="A7" s="69">
        <f t="shared" si="0"/>
        <v>2028</v>
      </c>
      <c r="B7" s="70">
        <v>2.6877489013077298</v>
      </c>
      <c r="C7" s="70">
        <v>2.1857193822568202</v>
      </c>
      <c r="D7" s="70">
        <v>1.79697117260492</v>
      </c>
      <c r="E7" s="70">
        <v>1.4117966138214899</v>
      </c>
      <c r="F7" s="70">
        <v>1.1143359861655999</v>
      </c>
      <c r="G7" s="70">
        <v>0.90690841437426495</v>
      </c>
      <c r="H7" s="70">
        <v>0.76110006509476602</v>
      </c>
      <c r="I7" s="70">
        <v>0.63570875453159803</v>
      </c>
      <c r="J7" s="70">
        <v>0.49254047633778802</v>
      </c>
      <c r="K7" s="70">
        <v>1.4147338994588E-3</v>
      </c>
      <c r="M7" s="69" t="s">
        <v>194</v>
      </c>
      <c r="N7" s="71">
        <v>0.05</v>
      </c>
    </row>
    <row r="8" spans="1:34" x14ac:dyDescent="0.2">
      <c r="A8" s="69">
        <f t="shared" si="0"/>
        <v>2029</v>
      </c>
      <c r="B8" s="70">
        <v>2.6877489013077298</v>
      </c>
      <c r="C8" s="70">
        <v>2.1857193822568202</v>
      </c>
      <c r="D8" s="70">
        <v>1.79697117260492</v>
      </c>
      <c r="E8" s="70">
        <v>1.4117966138214899</v>
      </c>
      <c r="F8" s="70">
        <v>1.1143359861655999</v>
      </c>
      <c r="G8" s="70">
        <v>0.90690841437426495</v>
      </c>
      <c r="H8" s="70">
        <v>0.76110006509476602</v>
      </c>
      <c r="I8" s="70">
        <v>0.63570875453159803</v>
      </c>
      <c r="J8" s="70">
        <v>0.49254047633778802</v>
      </c>
      <c r="K8" s="70">
        <v>1.4147338994588E-3</v>
      </c>
      <c r="M8" s="69" t="s">
        <v>195</v>
      </c>
      <c r="N8" s="71">
        <v>0.05</v>
      </c>
    </row>
    <row r="9" spans="1:34" x14ac:dyDescent="0.2">
      <c r="A9" s="69">
        <f t="shared" si="0"/>
        <v>2030</v>
      </c>
      <c r="B9" s="70">
        <v>2.6877489013077298</v>
      </c>
      <c r="C9" s="70">
        <v>2.1857193822568202</v>
      </c>
      <c r="D9" s="70">
        <v>1.79697117260492</v>
      </c>
      <c r="E9" s="70">
        <v>1.4117966138214899</v>
      </c>
      <c r="F9" s="70">
        <v>1.1143359861655999</v>
      </c>
      <c r="G9" s="70">
        <v>0.90690841437426495</v>
      </c>
      <c r="H9" s="70">
        <v>0.76110006509476602</v>
      </c>
      <c r="I9" s="70">
        <v>0.63570875453159803</v>
      </c>
      <c r="J9" s="70">
        <v>0.49254047633778802</v>
      </c>
      <c r="K9" s="70">
        <v>1.4147338994588E-3</v>
      </c>
      <c r="M9" s="69" t="s">
        <v>196</v>
      </c>
      <c r="N9" s="71">
        <v>0.05</v>
      </c>
    </row>
    <row r="10" spans="1:34" x14ac:dyDescent="0.2">
      <c r="A10" s="69">
        <f t="shared" si="0"/>
        <v>2031</v>
      </c>
      <c r="B10" s="70">
        <v>2.6877489013077298</v>
      </c>
      <c r="C10" s="70">
        <v>2.1857193822568202</v>
      </c>
      <c r="D10" s="70">
        <v>1.79697117260492</v>
      </c>
      <c r="E10" s="70">
        <v>1.4117966138214899</v>
      </c>
      <c r="F10" s="70">
        <v>1.1143359861655999</v>
      </c>
      <c r="G10" s="70">
        <v>0.90690841437426495</v>
      </c>
      <c r="H10" s="70">
        <v>0.76110006509476602</v>
      </c>
      <c r="I10" s="70">
        <v>0.63570875453159803</v>
      </c>
      <c r="J10" s="70">
        <v>0.49254047633778802</v>
      </c>
      <c r="K10" s="70">
        <v>1.4147338994588E-3</v>
      </c>
      <c r="M10" s="69" t="s">
        <v>197</v>
      </c>
      <c r="N10" s="71">
        <v>0.31</v>
      </c>
    </row>
    <row r="11" spans="1:34" x14ac:dyDescent="0.2">
      <c r="A11" s="69">
        <f t="shared" si="0"/>
        <v>2032</v>
      </c>
      <c r="B11" s="70">
        <v>2.6877489013077298</v>
      </c>
      <c r="C11" s="70">
        <v>2.1857193822568202</v>
      </c>
      <c r="D11" s="70">
        <v>1.79697117260492</v>
      </c>
      <c r="E11" s="70">
        <v>1.4117966138214899</v>
      </c>
      <c r="F11" s="70">
        <v>1.1143359861655999</v>
      </c>
      <c r="G11" s="70">
        <v>0.90690841437426495</v>
      </c>
      <c r="H11" s="70">
        <v>0.76110006509476602</v>
      </c>
      <c r="I11" s="70">
        <v>0.63570875453159803</v>
      </c>
      <c r="J11" s="70">
        <v>0.49254047633778802</v>
      </c>
      <c r="K11" s="70">
        <v>1.4147338994588E-3</v>
      </c>
      <c r="M11" s="69" t="s">
        <v>198</v>
      </c>
      <c r="N11" s="71">
        <v>0.15</v>
      </c>
    </row>
    <row r="12" spans="1:34" x14ac:dyDescent="0.2">
      <c r="A12" s="69">
        <f t="shared" si="0"/>
        <v>2033</v>
      </c>
      <c r="B12" s="70">
        <v>2.6877489013077298</v>
      </c>
      <c r="C12" s="70">
        <v>2.1857193822568202</v>
      </c>
      <c r="D12" s="70">
        <v>1.79697117260492</v>
      </c>
      <c r="E12" s="70">
        <v>1.4117966138214899</v>
      </c>
      <c r="F12" s="70">
        <v>1.1143359861655999</v>
      </c>
      <c r="G12" s="70">
        <v>0.90690841437426495</v>
      </c>
      <c r="H12" s="70">
        <v>0.76110006509476602</v>
      </c>
      <c r="I12" s="70">
        <v>0.63570875453159803</v>
      </c>
      <c r="J12" s="70">
        <v>0.49254047633778802</v>
      </c>
      <c r="K12" s="70">
        <v>1.4147338994588E-3</v>
      </c>
      <c r="M12" s="69" t="s">
        <v>199</v>
      </c>
      <c r="N12" s="71">
        <v>0.15</v>
      </c>
    </row>
    <row r="13" spans="1:34" x14ac:dyDescent="0.2">
      <c r="A13" s="69">
        <f t="shared" si="0"/>
        <v>2034</v>
      </c>
      <c r="B13" s="70">
        <v>2.6877489013077298</v>
      </c>
      <c r="C13" s="70">
        <v>2.1857193822568202</v>
      </c>
      <c r="D13" s="70">
        <v>1.79697117260492</v>
      </c>
      <c r="E13" s="70">
        <v>1.4117966138214899</v>
      </c>
      <c r="F13" s="70">
        <v>1.1143359861655999</v>
      </c>
      <c r="G13" s="70">
        <v>0.90690841437426495</v>
      </c>
      <c r="H13" s="70">
        <v>0.76110006509476602</v>
      </c>
      <c r="I13" s="70">
        <v>0.63570875453159803</v>
      </c>
      <c r="J13" s="70">
        <v>0.49254047633778802</v>
      </c>
      <c r="K13" s="70">
        <v>1.4147338994588E-3</v>
      </c>
      <c r="M13" s="69" t="s">
        <v>200</v>
      </c>
      <c r="N13" s="71">
        <v>0.15</v>
      </c>
    </row>
    <row r="14" spans="1:34" x14ac:dyDescent="0.2">
      <c r="A14" s="69">
        <f t="shared" si="0"/>
        <v>2035</v>
      </c>
      <c r="B14" s="70">
        <v>2.6877489013077298</v>
      </c>
      <c r="C14" s="70">
        <v>2.1857193822568202</v>
      </c>
      <c r="D14" s="70">
        <v>1.79697117260492</v>
      </c>
      <c r="E14" s="70">
        <v>1.4117966138214899</v>
      </c>
      <c r="F14" s="70">
        <v>1.1143359861655999</v>
      </c>
      <c r="G14" s="70">
        <v>0.90690841437426495</v>
      </c>
      <c r="H14" s="70">
        <v>0.76110006509476602</v>
      </c>
      <c r="I14" s="70">
        <v>0.63570875453159803</v>
      </c>
      <c r="J14" s="70">
        <v>0.49254047633778802</v>
      </c>
      <c r="K14" s="70">
        <v>1.4147338994588E-3</v>
      </c>
      <c r="M14" s="69"/>
      <c r="N14" s="71">
        <f>SUM(N4:N13)</f>
        <v>1</v>
      </c>
    </row>
    <row r="15" spans="1:34" x14ac:dyDescent="0.2">
      <c r="A15" s="69">
        <f t="shared" si="0"/>
        <v>2036</v>
      </c>
      <c r="B15" s="70">
        <v>2.6877489013077298</v>
      </c>
      <c r="C15" s="70">
        <v>2.1857193822568202</v>
      </c>
      <c r="D15" s="70">
        <v>1.79697117260492</v>
      </c>
      <c r="E15" s="70">
        <v>1.4117966138214899</v>
      </c>
      <c r="F15" s="70">
        <v>1.1143359861655999</v>
      </c>
      <c r="G15" s="70">
        <v>0.90690841437426495</v>
      </c>
      <c r="H15" s="70">
        <v>0.76110006509476602</v>
      </c>
      <c r="I15" s="70">
        <v>0.63570875453159803</v>
      </c>
      <c r="J15" s="70">
        <v>0.49254047633778802</v>
      </c>
      <c r="K15" s="70">
        <v>1.4147338994588E-3</v>
      </c>
    </row>
    <row r="16" spans="1:34" x14ac:dyDescent="0.2">
      <c r="A16" s="69">
        <f t="shared" si="0"/>
        <v>2037</v>
      </c>
      <c r="B16" s="70">
        <v>2.6877489013077298</v>
      </c>
      <c r="C16" s="70">
        <v>2.1857193822568202</v>
      </c>
      <c r="D16" s="70">
        <v>1.79697117260492</v>
      </c>
      <c r="E16" s="70">
        <v>1.4117966138214899</v>
      </c>
      <c r="F16" s="70">
        <v>1.1143359861655999</v>
      </c>
      <c r="G16" s="70">
        <v>0.90690841437426495</v>
      </c>
      <c r="H16" s="70">
        <v>0.76110006509476602</v>
      </c>
      <c r="I16" s="70">
        <v>0.63570875453159803</v>
      </c>
      <c r="J16" s="70">
        <v>0.49254047633778802</v>
      </c>
      <c r="K16" s="70">
        <v>1.4147338994588E-3</v>
      </c>
    </row>
    <row r="17" spans="1:11" x14ac:dyDescent="0.2">
      <c r="A17" s="69">
        <f t="shared" si="0"/>
        <v>2038</v>
      </c>
      <c r="B17" s="70">
        <v>2.6877489013077298</v>
      </c>
      <c r="C17" s="70">
        <v>2.1857193822568202</v>
      </c>
      <c r="D17" s="70">
        <v>1.79697117260492</v>
      </c>
      <c r="E17" s="70">
        <v>1.4117966138214899</v>
      </c>
      <c r="F17" s="70">
        <v>1.1143359861655999</v>
      </c>
      <c r="G17" s="70">
        <v>0.90690841437426495</v>
      </c>
      <c r="H17" s="70">
        <v>0.76110006509476602</v>
      </c>
      <c r="I17" s="70">
        <v>0.63570875453159803</v>
      </c>
      <c r="J17" s="70">
        <v>0.49254047633778802</v>
      </c>
      <c r="K17" s="70">
        <v>1.4147338994588E-3</v>
      </c>
    </row>
    <row r="18" spans="1:11" x14ac:dyDescent="0.2">
      <c r="A18" s="69">
        <f t="shared" si="0"/>
        <v>2039</v>
      </c>
      <c r="B18" s="70">
        <v>2.6877489013077298</v>
      </c>
      <c r="C18" s="70">
        <v>2.1857193822568202</v>
      </c>
      <c r="D18" s="70">
        <v>1.79697117260492</v>
      </c>
      <c r="E18" s="70">
        <v>1.4117966138214899</v>
      </c>
      <c r="F18" s="70">
        <v>1.1143359861655999</v>
      </c>
      <c r="G18" s="70">
        <v>0.90690841437426495</v>
      </c>
      <c r="H18" s="70">
        <v>0.76110006509476602</v>
      </c>
      <c r="I18" s="70">
        <v>0.63570875453159803</v>
      </c>
      <c r="J18" s="70">
        <v>0.49254047633778802</v>
      </c>
      <c r="K18" s="70">
        <v>1.4147338994588E-3</v>
      </c>
    </row>
    <row r="19" spans="1:11" x14ac:dyDescent="0.2">
      <c r="A19" s="69">
        <f t="shared" si="0"/>
        <v>2040</v>
      </c>
      <c r="B19" s="70">
        <v>2.6877489013077298</v>
      </c>
      <c r="C19" s="70">
        <v>2.1857193822568202</v>
      </c>
      <c r="D19" s="70">
        <v>1.79697117260492</v>
      </c>
      <c r="E19" s="70">
        <v>1.4117966138214899</v>
      </c>
      <c r="F19" s="70">
        <v>1.1143359861655999</v>
      </c>
      <c r="G19" s="70">
        <v>0.90690841437426495</v>
      </c>
      <c r="H19" s="70">
        <v>0.76110006509476602</v>
      </c>
      <c r="I19" s="70">
        <v>0.63570875453159803</v>
      </c>
      <c r="J19" s="70">
        <v>0.49254047633778802</v>
      </c>
      <c r="K19" s="70">
        <v>1.4147338994588E-3</v>
      </c>
    </row>
    <row r="20" spans="1:11" x14ac:dyDescent="0.2">
      <c r="A20" s="69">
        <f t="shared" si="0"/>
        <v>2041</v>
      </c>
      <c r="B20" s="70">
        <v>2.6877489013077298</v>
      </c>
      <c r="C20" s="70">
        <v>2.1857193822568202</v>
      </c>
      <c r="D20" s="70">
        <v>1.79697117260492</v>
      </c>
      <c r="E20" s="70">
        <v>1.4117966138214899</v>
      </c>
      <c r="F20" s="70">
        <v>1.1143359861655999</v>
      </c>
      <c r="G20" s="70">
        <v>0.90690841437426495</v>
      </c>
      <c r="H20" s="70">
        <v>0.76110006509476602</v>
      </c>
      <c r="I20" s="70">
        <v>0.63570875453159803</v>
      </c>
      <c r="J20" s="70">
        <v>0.49254047633778802</v>
      </c>
      <c r="K20" s="70">
        <v>1.4147338994588E-3</v>
      </c>
    </row>
    <row r="21" spans="1:11" ht="15.75" customHeight="1" x14ac:dyDescent="0.2">
      <c r="A21" s="69">
        <f t="shared" si="0"/>
        <v>2042</v>
      </c>
      <c r="B21" s="70">
        <v>2.6877489013077298</v>
      </c>
      <c r="C21" s="70">
        <v>2.1857193822568202</v>
      </c>
      <c r="D21" s="70">
        <v>1.79697117260492</v>
      </c>
      <c r="E21" s="70">
        <v>1.4117966138214899</v>
      </c>
      <c r="F21" s="70">
        <v>1.1143359861655999</v>
      </c>
      <c r="G21" s="70">
        <v>0.90690841437426495</v>
      </c>
      <c r="H21" s="70">
        <v>0.76110006509476602</v>
      </c>
      <c r="I21" s="70">
        <v>0.63570875453159803</v>
      </c>
      <c r="J21" s="70">
        <v>0.49254047633778802</v>
      </c>
      <c r="K21" s="70">
        <v>1.4147338994588E-3</v>
      </c>
    </row>
    <row r="22" spans="1:11" ht="15.75" customHeight="1" x14ac:dyDescent="0.2">
      <c r="A22" s="69">
        <f t="shared" si="0"/>
        <v>2043</v>
      </c>
      <c r="B22" s="70">
        <v>2.6877489013077298</v>
      </c>
      <c r="C22" s="70">
        <v>2.1857193822568202</v>
      </c>
      <c r="D22" s="70">
        <v>1.79697117260492</v>
      </c>
      <c r="E22" s="70">
        <v>1.4117966138214899</v>
      </c>
      <c r="F22" s="70">
        <v>1.1143359861655999</v>
      </c>
      <c r="G22" s="70">
        <v>0.90690841437426495</v>
      </c>
      <c r="H22" s="70">
        <v>0.76110006509476602</v>
      </c>
      <c r="I22" s="70">
        <v>0.63570875453159803</v>
      </c>
      <c r="J22" s="70">
        <v>0.49254047633778802</v>
      </c>
      <c r="K22" s="70">
        <v>1.4147338994588E-3</v>
      </c>
    </row>
    <row r="23" spans="1:11" ht="15.75" customHeight="1" x14ac:dyDescent="0.2">
      <c r="A23" s="69">
        <f t="shared" si="0"/>
        <v>2044</v>
      </c>
      <c r="B23" s="70">
        <v>2.6877489013077298</v>
      </c>
      <c r="C23" s="70">
        <v>2.1857193822568202</v>
      </c>
      <c r="D23" s="70">
        <v>1.79697117260492</v>
      </c>
      <c r="E23" s="70">
        <v>1.4117966138214899</v>
      </c>
      <c r="F23" s="70">
        <v>1.1143359861655999</v>
      </c>
      <c r="G23" s="70">
        <v>0.90690841437426495</v>
      </c>
      <c r="H23" s="70">
        <v>0.76110006509476602</v>
      </c>
      <c r="I23" s="70">
        <v>0.63570875453159803</v>
      </c>
      <c r="J23" s="70">
        <v>0.49254047633778802</v>
      </c>
      <c r="K23" s="70">
        <v>1.4147338994588E-3</v>
      </c>
    </row>
    <row r="24" spans="1:11" ht="15.75" customHeight="1" x14ac:dyDescent="0.2">
      <c r="A24" s="69">
        <f t="shared" si="0"/>
        <v>2045</v>
      </c>
      <c r="B24" s="70">
        <v>2.6877489013077298</v>
      </c>
      <c r="C24" s="70">
        <v>2.1857193822568202</v>
      </c>
      <c r="D24" s="70">
        <v>1.79697117260492</v>
      </c>
      <c r="E24" s="70">
        <v>1.4117966138214899</v>
      </c>
      <c r="F24" s="70">
        <v>1.1143359861655999</v>
      </c>
      <c r="G24" s="70">
        <v>0.90690841437426495</v>
      </c>
      <c r="H24" s="70">
        <v>0.76110006509476602</v>
      </c>
      <c r="I24" s="70">
        <v>0.63570875453159803</v>
      </c>
      <c r="J24" s="70">
        <v>0.49254047633778802</v>
      </c>
      <c r="K24" s="70">
        <v>1.4147338994588E-3</v>
      </c>
    </row>
    <row r="25" spans="1:11" ht="15.75" customHeight="1" x14ac:dyDescent="0.2">
      <c r="A25" s="69">
        <f t="shared" si="0"/>
        <v>2046</v>
      </c>
      <c r="B25" s="70">
        <v>2.6877489013077298</v>
      </c>
      <c r="C25" s="70">
        <v>2.1857193822568202</v>
      </c>
      <c r="D25" s="70">
        <v>1.79697117260492</v>
      </c>
      <c r="E25" s="70">
        <v>1.4117966138214899</v>
      </c>
      <c r="F25" s="70">
        <v>1.1143359861655999</v>
      </c>
      <c r="G25" s="70">
        <v>0.90690841437426495</v>
      </c>
      <c r="H25" s="70">
        <v>0.76110006509476602</v>
      </c>
      <c r="I25" s="70">
        <v>0.63570875453159803</v>
      </c>
      <c r="J25" s="70">
        <v>0.49254047633778802</v>
      </c>
      <c r="K25" s="70">
        <v>1.4147338994588E-3</v>
      </c>
    </row>
    <row r="26" spans="1:11" ht="15.75" customHeight="1" x14ac:dyDescent="0.2">
      <c r="A26" s="69">
        <f t="shared" si="0"/>
        <v>2047</v>
      </c>
      <c r="B26" s="70">
        <v>2.6877489013077298</v>
      </c>
      <c r="C26" s="70">
        <v>2.1857193822568202</v>
      </c>
      <c r="D26" s="70">
        <v>1.79697117260492</v>
      </c>
      <c r="E26" s="70">
        <v>1.4117966138214899</v>
      </c>
      <c r="F26" s="70">
        <v>1.1143359861655999</v>
      </c>
      <c r="G26" s="70">
        <v>0.90690841437426495</v>
      </c>
      <c r="H26" s="70">
        <v>0.76110006509476602</v>
      </c>
      <c r="I26" s="70">
        <v>0.63570875453159803</v>
      </c>
      <c r="J26" s="70">
        <v>0.49254047633778802</v>
      </c>
      <c r="K26" s="70">
        <v>1.4147338994588E-3</v>
      </c>
    </row>
    <row r="27" spans="1:11" ht="15.75" customHeight="1" x14ac:dyDescent="0.2">
      <c r="A27" s="69">
        <f t="shared" si="0"/>
        <v>2048</v>
      </c>
      <c r="B27" s="70">
        <v>2.6877489013077298</v>
      </c>
      <c r="C27" s="70">
        <v>2.1857193822568202</v>
      </c>
      <c r="D27" s="70">
        <v>1.79697117260492</v>
      </c>
      <c r="E27" s="70">
        <v>1.4117966138214899</v>
      </c>
      <c r="F27" s="70">
        <v>1.1143359861655999</v>
      </c>
      <c r="G27" s="70">
        <v>0.90690841437426495</v>
      </c>
      <c r="H27" s="70">
        <v>0.76110006509476602</v>
      </c>
      <c r="I27" s="70">
        <v>0.63570875453159803</v>
      </c>
      <c r="J27" s="70">
        <v>0.49254047633778802</v>
      </c>
      <c r="K27" s="70">
        <v>1.4147338994588E-3</v>
      </c>
    </row>
    <row r="28" spans="1:11" ht="15.75" customHeight="1" x14ac:dyDescent="0.2">
      <c r="A28" s="69">
        <f t="shared" si="0"/>
        <v>2049</v>
      </c>
      <c r="B28" s="70">
        <v>2.6877489013077298</v>
      </c>
      <c r="C28" s="70">
        <v>2.1857193822568202</v>
      </c>
      <c r="D28" s="70">
        <v>1.79697117260492</v>
      </c>
      <c r="E28" s="70">
        <v>1.4117966138214899</v>
      </c>
      <c r="F28" s="70">
        <v>1.1143359861655999</v>
      </c>
      <c r="G28" s="70">
        <v>0.90690841437426495</v>
      </c>
      <c r="H28" s="70">
        <v>0.76110006509476602</v>
      </c>
      <c r="I28" s="70">
        <v>0.63570875453159803</v>
      </c>
      <c r="J28" s="70">
        <v>0.49254047633778802</v>
      </c>
      <c r="K28" s="70">
        <v>1.4147338994588E-3</v>
      </c>
    </row>
    <row r="29" spans="1:11" ht="15.75" customHeight="1" x14ac:dyDescent="0.2">
      <c r="A29" s="69">
        <f t="shared" si="0"/>
        <v>2050</v>
      </c>
      <c r="B29" s="70">
        <v>2.6877489013077298</v>
      </c>
      <c r="C29" s="70">
        <v>2.1857193822568202</v>
      </c>
      <c r="D29" s="70">
        <v>1.79697117260492</v>
      </c>
      <c r="E29" s="70">
        <v>1.4117966138214899</v>
      </c>
      <c r="F29" s="70">
        <v>1.1143359861655999</v>
      </c>
      <c r="G29" s="70">
        <v>0.90690841437426495</v>
      </c>
      <c r="H29" s="70">
        <v>0.76110006509476602</v>
      </c>
      <c r="I29" s="70">
        <v>0.63570875453159803</v>
      </c>
      <c r="J29" s="70">
        <v>0.49254047633778802</v>
      </c>
      <c r="K29" s="70">
        <v>1.4147338994588E-3</v>
      </c>
    </row>
    <row r="30" spans="1:11" ht="15.75" customHeight="1" x14ac:dyDescent="0.2">
      <c r="A30" s="69">
        <f t="shared" si="0"/>
        <v>2051</v>
      </c>
      <c r="B30" s="70">
        <v>2.6877489013077298</v>
      </c>
      <c r="C30" s="70">
        <v>2.1857193822568202</v>
      </c>
      <c r="D30" s="70">
        <v>1.79697117260492</v>
      </c>
      <c r="E30" s="70">
        <v>1.4117966138214899</v>
      </c>
      <c r="F30" s="70">
        <v>1.1143359861655999</v>
      </c>
      <c r="G30" s="70">
        <v>0.90690841437426495</v>
      </c>
      <c r="H30" s="70">
        <v>0.76110006509476602</v>
      </c>
      <c r="I30" s="70">
        <v>0.63570875453159803</v>
      </c>
      <c r="J30" s="70">
        <v>0.49254047633778802</v>
      </c>
      <c r="K30" s="70">
        <v>1.4147338994588E-3</v>
      </c>
    </row>
    <row r="31" spans="1:11" ht="15.75" customHeight="1" x14ac:dyDescent="0.2">
      <c r="A31" s="69">
        <f t="shared" si="0"/>
        <v>2052</v>
      </c>
      <c r="B31" s="70">
        <v>2.6877489013077298</v>
      </c>
      <c r="C31" s="70">
        <v>2.1857193822568202</v>
      </c>
      <c r="D31" s="70">
        <v>1.79697117260492</v>
      </c>
      <c r="E31" s="70">
        <v>1.4117966138214899</v>
      </c>
      <c r="F31" s="70">
        <v>1.1143359861655999</v>
      </c>
      <c r="G31" s="70">
        <v>0.90690841437426495</v>
      </c>
      <c r="H31" s="70">
        <v>0.76110006509476602</v>
      </c>
      <c r="I31" s="70">
        <v>0.63570875453159803</v>
      </c>
      <c r="J31" s="70">
        <v>0.49254047633778802</v>
      </c>
      <c r="K31" s="70">
        <v>1.4147338994588E-3</v>
      </c>
    </row>
    <row r="32" spans="1:11" ht="15.75" customHeight="1" x14ac:dyDescent="0.2">
      <c r="A32" s="69">
        <f t="shared" si="0"/>
        <v>2053</v>
      </c>
      <c r="B32" s="70">
        <v>2.6877489013077298</v>
      </c>
      <c r="C32" s="70">
        <v>2.1857193822568202</v>
      </c>
      <c r="D32" s="70">
        <v>1.79697117260492</v>
      </c>
      <c r="E32" s="70">
        <v>1.4117966138214899</v>
      </c>
      <c r="F32" s="70">
        <v>1.1143359861655999</v>
      </c>
      <c r="G32" s="70">
        <v>0.90690841437426495</v>
      </c>
      <c r="H32" s="70">
        <v>0.76110006509476602</v>
      </c>
      <c r="I32" s="70">
        <v>0.63570875453159803</v>
      </c>
      <c r="J32" s="70">
        <v>0.49254047633778802</v>
      </c>
      <c r="K32" s="70">
        <v>1.4147338994588E-3</v>
      </c>
    </row>
    <row r="33" spans="1:11" ht="15.75" customHeight="1" x14ac:dyDescent="0.2">
      <c r="A33" s="69">
        <f t="shared" si="0"/>
        <v>2054</v>
      </c>
      <c r="B33" s="70">
        <v>2.6877489013077298</v>
      </c>
      <c r="C33" s="70">
        <v>2.1857193822568202</v>
      </c>
      <c r="D33" s="70">
        <v>1.79697117260492</v>
      </c>
      <c r="E33" s="70">
        <v>1.4117966138214899</v>
      </c>
      <c r="F33" s="70">
        <v>1.1143359861655999</v>
      </c>
      <c r="G33" s="70">
        <v>0.90690841437426495</v>
      </c>
      <c r="H33" s="70">
        <v>0.76110006509476602</v>
      </c>
      <c r="I33" s="70">
        <v>0.63570875453159803</v>
      </c>
      <c r="J33" s="70">
        <v>0.49254047633778802</v>
      </c>
      <c r="K33" s="70">
        <v>1.4147338994588E-3</v>
      </c>
    </row>
    <row r="34" spans="1:11" ht="15.75" customHeight="1" x14ac:dyDescent="0.2">
      <c r="A34" s="69">
        <f t="shared" si="0"/>
        <v>2055</v>
      </c>
      <c r="B34" s="70">
        <v>2.6877489013077298</v>
      </c>
      <c r="C34" s="70">
        <v>2.1857193822568202</v>
      </c>
      <c r="D34" s="70">
        <v>1.79697117260492</v>
      </c>
      <c r="E34" s="70">
        <v>1.4117966138214899</v>
      </c>
      <c r="F34" s="70">
        <v>1.1143359861655999</v>
      </c>
      <c r="G34" s="70">
        <v>0.90690841437426495</v>
      </c>
      <c r="H34" s="70">
        <v>0.76110006509476602</v>
      </c>
      <c r="I34" s="70">
        <v>0.63570875453159803</v>
      </c>
      <c r="J34" s="70">
        <v>0.49254047633778802</v>
      </c>
      <c r="K34" s="70">
        <v>1.4147338994588E-3</v>
      </c>
    </row>
    <row r="35" spans="1:11" ht="15.75" customHeight="1" x14ac:dyDescent="0.2">
      <c r="A35" s="69">
        <f t="shared" si="0"/>
        <v>2056</v>
      </c>
      <c r="B35" s="70">
        <v>2.6877489013077298</v>
      </c>
      <c r="C35" s="70">
        <v>2.1857193822568202</v>
      </c>
      <c r="D35" s="70">
        <v>1.79697117260492</v>
      </c>
      <c r="E35" s="70">
        <v>1.4117966138214899</v>
      </c>
      <c r="F35" s="70">
        <v>1.1143359861655999</v>
      </c>
      <c r="G35" s="70">
        <v>0.90690841437426495</v>
      </c>
      <c r="H35" s="70">
        <v>0.76110006509476602</v>
      </c>
      <c r="I35" s="70">
        <v>0.63570875453159803</v>
      </c>
      <c r="J35" s="70">
        <v>0.49254047633778802</v>
      </c>
      <c r="K35" s="70">
        <v>1.4147338994588E-3</v>
      </c>
    </row>
    <row r="36" spans="1:11" ht="15.75" customHeight="1" x14ac:dyDescent="0.2">
      <c r="A36" s="69">
        <f t="shared" si="0"/>
        <v>2057</v>
      </c>
      <c r="B36" s="70">
        <v>2.6877489013077298</v>
      </c>
      <c r="C36" s="70">
        <v>2.1857193822568202</v>
      </c>
      <c r="D36" s="70">
        <v>1.79697117260492</v>
      </c>
      <c r="E36" s="70">
        <v>1.4117966138214899</v>
      </c>
      <c r="F36" s="70">
        <v>1.1143359861655999</v>
      </c>
      <c r="G36" s="70">
        <v>0.90690841437426495</v>
      </c>
      <c r="H36" s="70">
        <v>0.76110006509476602</v>
      </c>
      <c r="I36" s="70">
        <v>0.63570875453159803</v>
      </c>
      <c r="J36" s="70">
        <v>0.49254047633778802</v>
      </c>
      <c r="K36" s="70">
        <v>1.4147338994588E-3</v>
      </c>
    </row>
    <row r="37" spans="1:11" ht="15.75" customHeight="1" x14ac:dyDescent="0.2">
      <c r="A37" s="69">
        <f t="shared" si="0"/>
        <v>2058</v>
      </c>
      <c r="B37" s="70">
        <v>2.6877489013077298</v>
      </c>
      <c r="C37" s="70">
        <v>2.1857193822568202</v>
      </c>
      <c r="D37" s="70">
        <v>1.79697117260492</v>
      </c>
      <c r="E37" s="70">
        <v>1.4117966138214899</v>
      </c>
      <c r="F37" s="70">
        <v>1.1143359861655999</v>
      </c>
      <c r="G37" s="70">
        <v>0.90690841437426495</v>
      </c>
      <c r="H37" s="70">
        <v>0.76110006509476602</v>
      </c>
      <c r="I37" s="70">
        <v>0.63570875453159803</v>
      </c>
      <c r="J37" s="70">
        <v>0.49254047633778802</v>
      </c>
      <c r="K37" s="70">
        <v>1.4147338994588E-3</v>
      </c>
    </row>
    <row r="38" spans="1:11" ht="15.75" customHeight="1" x14ac:dyDescent="0.2">
      <c r="A38" s="69">
        <f t="shared" si="0"/>
        <v>2059</v>
      </c>
      <c r="B38" s="70">
        <v>2.6877489013077298</v>
      </c>
      <c r="C38" s="70">
        <v>2.1857193822568202</v>
      </c>
      <c r="D38" s="70">
        <v>1.79697117260492</v>
      </c>
      <c r="E38" s="70">
        <v>1.4117966138214899</v>
      </c>
      <c r="F38" s="70">
        <v>1.1143359861655999</v>
      </c>
      <c r="G38" s="70">
        <v>0.90690841437426495</v>
      </c>
      <c r="H38" s="70">
        <v>0.76110006509476602</v>
      </c>
      <c r="I38" s="70">
        <v>0.63570875453159803</v>
      </c>
      <c r="J38" s="70">
        <v>0.49254047633778802</v>
      </c>
      <c r="K38" s="70">
        <v>1.4147338994588E-3</v>
      </c>
    </row>
    <row r="39" spans="1:11" ht="15.75" customHeight="1" x14ac:dyDescent="0.2">
      <c r="A39" s="69">
        <f t="shared" si="0"/>
        <v>2060</v>
      </c>
      <c r="B39" s="70">
        <v>2.6877489013077298</v>
      </c>
      <c r="C39" s="70">
        <v>2.1857193822568202</v>
      </c>
      <c r="D39" s="70">
        <v>1.79697117260492</v>
      </c>
      <c r="E39" s="70">
        <v>1.4117966138214899</v>
      </c>
      <c r="F39" s="70">
        <v>1.1143359861655999</v>
      </c>
      <c r="G39" s="70">
        <v>0.90690841437426495</v>
      </c>
      <c r="H39" s="70">
        <v>0.76110006509476602</v>
      </c>
      <c r="I39" s="70">
        <v>0.63570875453159803</v>
      </c>
      <c r="J39" s="70">
        <v>0.49254047633778802</v>
      </c>
      <c r="K39" s="70">
        <v>1.4147338994588E-3</v>
      </c>
    </row>
    <row r="40" spans="1:11" ht="15.75" customHeight="1" x14ac:dyDescent="0.2">
      <c r="A40" s="69">
        <f t="shared" si="0"/>
        <v>2061</v>
      </c>
      <c r="B40" s="70">
        <v>2.6877489013077298</v>
      </c>
      <c r="C40" s="70">
        <v>2.1857193822568202</v>
      </c>
      <c r="D40" s="70">
        <v>1.79697117260492</v>
      </c>
      <c r="E40" s="70">
        <v>1.4117966138214899</v>
      </c>
      <c r="F40" s="70">
        <v>1.1143359861655999</v>
      </c>
      <c r="G40" s="70">
        <v>0.90690841437426495</v>
      </c>
      <c r="H40" s="70">
        <v>0.76110006509476602</v>
      </c>
      <c r="I40" s="70">
        <v>0.63570875453159803</v>
      </c>
      <c r="J40" s="70">
        <v>0.49254047633778802</v>
      </c>
      <c r="K40" s="70">
        <v>1.4147338994588E-3</v>
      </c>
    </row>
    <row r="41" spans="1:11" ht="15.75" customHeight="1" x14ac:dyDescent="0.2">
      <c r="A41" s="69">
        <f t="shared" si="0"/>
        <v>2062</v>
      </c>
      <c r="B41" s="70">
        <v>2.6877489013077298</v>
      </c>
      <c r="C41" s="70">
        <v>2.1857193822568202</v>
      </c>
      <c r="D41" s="70">
        <v>1.79697117260492</v>
      </c>
      <c r="E41" s="70">
        <v>1.4117966138214899</v>
      </c>
      <c r="F41" s="70">
        <v>1.1143359861655999</v>
      </c>
      <c r="G41" s="70">
        <v>0.90690841437426495</v>
      </c>
      <c r="H41" s="70">
        <v>0.76110006509476602</v>
      </c>
      <c r="I41" s="70">
        <v>0.63570875453159803</v>
      </c>
      <c r="J41" s="70">
        <v>0.49254047633778802</v>
      </c>
      <c r="K41" s="70">
        <v>1.4147338994588E-3</v>
      </c>
    </row>
    <row r="42" spans="1:11" ht="15.75" customHeight="1" x14ac:dyDescent="0.2">
      <c r="A42" s="69">
        <f t="shared" si="0"/>
        <v>2063</v>
      </c>
      <c r="B42" s="70">
        <v>2.6877489013077298</v>
      </c>
      <c r="C42" s="70">
        <v>2.1857193822568202</v>
      </c>
      <c r="D42" s="70">
        <v>1.79697117260492</v>
      </c>
      <c r="E42" s="70">
        <v>1.4117966138214899</v>
      </c>
      <c r="F42" s="70">
        <v>1.1143359861655999</v>
      </c>
      <c r="G42" s="70">
        <v>0.90690841437426495</v>
      </c>
      <c r="H42" s="70">
        <v>0.76110006509476602</v>
      </c>
      <c r="I42" s="70">
        <v>0.63570875453159803</v>
      </c>
      <c r="J42" s="70">
        <v>0.49254047633778802</v>
      </c>
      <c r="K42" s="70">
        <v>1.4147338994588E-3</v>
      </c>
    </row>
    <row r="43" spans="1:11" ht="15.75" customHeight="1" x14ac:dyDescent="0.2">
      <c r="A43" s="69">
        <f t="shared" si="0"/>
        <v>2064</v>
      </c>
      <c r="B43" s="70">
        <v>2.6877489013077298</v>
      </c>
      <c r="C43" s="70">
        <v>2.1857193822568202</v>
      </c>
      <c r="D43" s="70">
        <v>1.79697117260492</v>
      </c>
      <c r="E43" s="70">
        <v>1.4117966138214899</v>
      </c>
      <c r="F43" s="70">
        <v>1.1143359861655999</v>
      </c>
      <c r="G43" s="70">
        <v>0.90690841437426495</v>
      </c>
      <c r="H43" s="70">
        <v>0.76110006509476602</v>
      </c>
      <c r="I43" s="70">
        <v>0.63570875453159803</v>
      </c>
      <c r="J43" s="70">
        <v>0.49254047633778802</v>
      </c>
      <c r="K43" s="70">
        <v>1.4147338994588E-3</v>
      </c>
    </row>
    <row r="44" spans="1:11" ht="15.75" customHeight="1" x14ac:dyDescent="0.2">
      <c r="A44" s="69">
        <f t="shared" si="0"/>
        <v>2065</v>
      </c>
      <c r="B44" s="70">
        <v>2.6877489013077298</v>
      </c>
      <c r="C44" s="70">
        <v>2.1857193822568202</v>
      </c>
      <c r="D44" s="70">
        <v>1.79697117260492</v>
      </c>
      <c r="E44" s="70">
        <v>1.4117966138214899</v>
      </c>
      <c r="F44" s="70">
        <v>1.1143359861655999</v>
      </c>
      <c r="G44" s="70">
        <v>0.90690841437426495</v>
      </c>
      <c r="H44" s="70">
        <v>0.76110006509476602</v>
      </c>
      <c r="I44" s="70">
        <v>0.63570875453159803</v>
      </c>
      <c r="J44" s="70">
        <v>0.49254047633778802</v>
      </c>
      <c r="K44" s="70">
        <v>1.4147338994588E-3</v>
      </c>
    </row>
    <row r="45" spans="1:11" ht="15.75" customHeight="1" x14ac:dyDescent="0.2">
      <c r="A45" s="69">
        <f t="shared" si="0"/>
        <v>2066</v>
      </c>
      <c r="B45" s="70">
        <v>2.6877489013077298</v>
      </c>
      <c r="C45" s="70">
        <v>2.1857193822568202</v>
      </c>
      <c r="D45" s="70">
        <v>1.79697117260492</v>
      </c>
      <c r="E45" s="70">
        <v>1.4117966138214899</v>
      </c>
      <c r="F45" s="70">
        <v>1.1143359861655999</v>
      </c>
      <c r="G45" s="70">
        <v>0.90690841437426495</v>
      </c>
      <c r="H45" s="70">
        <v>0.76110006509476602</v>
      </c>
      <c r="I45" s="70">
        <v>0.63570875453159803</v>
      </c>
      <c r="J45" s="70">
        <v>0.49254047633778802</v>
      </c>
      <c r="K45" s="70">
        <v>1.4147338994588E-3</v>
      </c>
    </row>
    <row r="46" spans="1:11" ht="15.75" customHeight="1" x14ac:dyDescent="0.2">
      <c r="A46" s="69">
        <f t="shared" si="0"/>
        <v>2067</v>
      </c>
      <c r="B46" s="70">
        <v>2.6877489013077298</v>
      </c>
      <c r="C46" s="70">
        <v>2.1857193822568202</v>
      </c>
      <c r="D46" s="70">
        <v>1.79697117260492</v>
      </c>
      <c r="E46" s="70">
        <v>1.4117966138214899</v>
      </c>
      <c r="F46" s="70">
        <v>1.1143359861655999</v>
      </c>
      <c r="G46" s="70">
        <v>0.90690841437426495</v>
      </c>
      <c r="H46" s="70">
        <v>0.76110006509476602</v>
      </c>
      <c r="I46" s="70">
        <v>0.63570875453159803</v>
      </c>
      <c r="J46" s="70">
        <v>0.49254047633778802</v>
      </c>
      <c r="K46" s="70">
        <v>1.4147338994588E-3</v>
      </c>
    </row>
    <row r="47" spans="1:11" ht="15.75" customHeight="1" x14ac:dyDescent="0.2">
      <c r="A47" s="69">
        <f t="shared" si="0"/>
        <v>2068</v>
      </c>
      <c r="B47" s="70">
        <v>2.6877489013077298</v>
      </c>
      <c r="C47" s="70">
        <v>2.1857193822568202</v>
      </c>
      <c r="D47" s="70">
        <v>1.79697117260492</v>
      </c>
      <c r="E47" s="70">
        <v>1.4117966138214899</v>
      </c>
      <c r="F47" s="70">
        <v>1.1143359861655999</v>
      </c>
      <c r="G47" s="70">
        <v>0.90690841437426495</v>
      </c>
      <c r="H47" s="70">
        <v>0.76110006509476602</v>
      </c>
      <c r="I47" s="70">
        <v>0.63570875453159803</v>
      </c>
      <c r="J47" s="70">
        <v>0.49254047633778802</v>
      </c>
      <c r="K47" s="70">
        <v>1.4147338994588E-3</v>
      </c>
    </row>
    <row r="48" spans="1:11" ht="15.75" customHeight="1" x14ac:dyDescent="0.2">
      <c r="A48" s="69">
        <f t="shared" si="0"/>
        <v>2069</v>
      </c>
      <c r="B48" s="70">
        <v>2.6877489013077298</v>
      </c>
      <c r="C48" s="70">
        <v>2.1857193822568202</v>
      </c>
      <c r="D48" s="70">
        <v>1.79697117260492</v>
      </c>
      <c r="E48" s="70">
        <v>1.4117966138214899</v>
      </c>
      <c r="F48" s="70">
        <v>1.1143359861655999</v>
      </c>
      <c r="G48" s="70">
        <v>0.90690841437426495</v>
      </c>
      <c r="H48" s="70">
        <v>0.76110006509476602</v>
      </c>
      <c r="I48" s="70">
        <v>0.63570875453159803</v>
      </c>
      <c r="J48" s="70">
        <v>0.49254047633778802</v>
      </c>
      <c r="K48" s="70">
        <v>1.4147338994588E-3</v>
      </c>
    </row>
    <row r="49" spans="1:11" ht="15.75" customHeight="1" x14ac:dyDescent="0.2">
      <c r="A49" s="69">
        <f t="shared" si="0"/>
        <v>2070</v>
      </c>
      <c r="B49" s="70">
        <v>2.6877489013077298</v>
      </c>
      <c r="C49" s="70">
        <v>2.1857193822568202</v>
      </c>
      <c r="D49" s="70">
        <v>1.79697117260492</v>
      </c>
      <c r="E49" s="70">
        <v>1.4117966138214899</v>
      </c>
      <c r="F49" s="70">
        <v>1.1143359861655999</v>
      </c>
      <c r="G49" s="70">
        <v>0.90690841437426495</v>
      </c>
      <c r="H49" s="70">
        <v>0.76110006509476602</v>
      </c>
      <c r="I49" s="70">
        <v>0.63570875453159803</v>
      </c>
      <c r="J49" s="70">
        <v>0.49254047633778802</v>
      </c>
      <c r="K49" s="70">
        <v>1.4147338994588E-3</v>
      </c>
    </row>
    <row r="50" spans="1:11" ht="15.75" customHeight="1" x14ac:dyDescent="0.2"/>
    <row r="51" spans="1:11" ht="15.75" customHeight="1" x14ac:dyDescent="0.2"/>
    <row r="52" spans="1:11" ht="15.75" customHeight="1" x14ac:dyDescent="0.2"/>
    <row r="53" spans="1:11" ht="15.75" customHeight="1" x14ac:dyDescent="0.2"/>
    <row r="54" spans="1:11" ht="15.75" customHeight="1" x14ac:dyDescent="0.2"/>
    <row r="55" spans="1:11" ht="15.75" customHeight="1" x14ac:dyDescent="0.2"/>
    <row r="56" spans="1:11" ht="15.75" customHeight="1" x14ac:dyDescent="0.2"/>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Definitions</vt:lpstr>
      <vt:lpstr>Other</vt:lpstr>
      <vt:lpstr>Plant Data</vt:lpstr>
      <vt:lpstr>FC_PPA</vt:lpstr>
      <vt:lpstr>Price_Gen</vt:lpstr>
      <vt:lpstr>Price_Distribution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Debabrata Chattopadhyay</dc:creator>
  <cp:lastModifiedBy>Osei-Owusu, Simone</cp:lastModifiedBy>
  <dcterms:created xsi:type="dcterms:W3CDTF">2021-06-05T11:37:27Z</dcterms:created>
  <dcterms:modified xsi:type="dcterms:W3CDTF">2026-02-10T18:58:27Z</dcterms:modified>
</cp:coreProperties>
</file>